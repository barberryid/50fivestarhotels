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ary\code\50fivestarhotels\research\"/>
    </mc:Choice>
  </mc:AlternateContent>
  <xr:revisionPtr revIDLastSave="0" documentId="13_ncr:1_{76598FC0-ED2F-4E49-9616-F28AFC29A49D}" xr6:coauthVersionLast="47" xr6:coauthVersionMax="47" xr10:uidLastSave="{00000000-0000-0000-0000-000000000000}"/>
  <bookViews>
    <workbookView xWindow="-120" yWindow="-120" windowWidth="29040" windowHeight="17520" tabRatio="500" activeTab="3" xr2:uid="{00000000-000D-0000-FFFF-FFFF00000000}"/>
  </bookViews>
  <sheets>
    <sheet name="README" sheetId="1" r:id="rId1"/>
    <sheet name="Master Comparison" sheetId="2" r:id="rId2"/>
    <sheet name="Scoring Detail" sheetId="3" r:id="rId3"/>
    <sheet name="Hotel Profiles" sheetId="4" r:id="rId4"/>
    <sheet name="Final Recommendations" sheetId="5" r:id="rId5"/>
  </sheets>
  <definedNames>
    <definedName name="_xlnm._FilterDatabase" localSheetId="3" hidden="1">'Hotel Profiles'!$A$1:$P$26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6" i="3" l="1"/>
  <c r="I25" i="3"/>
  <c r="I24" i="3"/>
  <c r="I23" i="3"/>
  <c r="I22" i="3"/>
  <c r="I21" i="3"/>
  <c r="I20" i="3"/>
  <c r="I19" i="3"/>
  <c r="I18" i="3"/>
  <c r="I17" i="3"/>
  <c r="I16" i="3"/>
  <c r="I15" i="3"/>
  <c r="I14" i="3"/>
  <c r="I13" i="3"/>
  <c r="I12" i="3"/>
  <c r="I11" i="3"/>
  <c r="I10" i="3"/>
  <c r="I9" i="3"/>
  <c r="I8" i="3"/>
  <c r="I7" i="3"/>
  <c r="I6" i="3"/>
  <c r="I5" i="3"/>
  <c r="I4" i="3"/>
  <c r="I3" i="3"/>
  <c r="I2" i="3"/>
</calcChain>
</file>

<file path=xl/sharedStrings.xml><?xml version="1.0" encoding="utf-8"?>
<sst xmlns="http://schemas.openxmlformats.org/spreadsheetml/2006/main" count="997" uniqueCount="592">
  <si>
    <t>50 Five-Star Hotels</t>
  </si>
  <si>
    <t>Five-star hotels without five-star prices.</t>
  </si>
  <si>
    <t>Project</t>
  </si>
  <si>
    <t>Research workbook for the first 20 hotel profiles. Built from the project brief in 50fivestarhotels_project_brief.md.</t>
  </si>
  <si>
    <t>Workbook structure</t>
  </si>
  <si>
    <t>1) Master Comparison Table — 25 candidates ranked.  2) Scoring Detail — 6-criterion weighted value score.  3) Hotel Profiles — full editorial profile per hotel.  4) Final Recommendations — top 20, backups, rejected, and curation picks.</t>
  </si>
  <si>
    <t>Budget tiers</t>
  </si>
  <si>
    <t>Under €100 = exceptional budget luxury · Under €200 = affordable indulgence · Under €250 = smart splurge.</t>
  </si>
  <si>
    <t>Five-star labels</t>
  </si>
  <si>
    <t>True international · Heritage-value · Local/booking-site · Business bargain · Near-luxury exception · Questionable.</t>
  </si>
  <si>
    <t>Price language</t>
  </si>
  <si>
    <t>All ranges are indicative. Use phrases like 'often seen around', 'regularly appears in', 'can rise sharply during'. Never quote a fixed price.</t>
  </si>
  <si>
    <t>Tone</t>
  </si>
  <si>
    <t>Practical, honest, elegant. Avoid 'hidden gem', 'luxury at its finest', 'unbeatable', 'perfect for everyone'.</t>
  </si>
  <si>
    <t>Scoring</t>
  </si>
  <si>
    <t>Value score is computed from six weighted criteria (see Scoring Detail). 85–100 Exceptional · 75–84 Strong · 65–74 Good · 55–64 Conditional · &lt;55 Reject.</t>
  </si>
  <si>
    <t>Editorial standard</t>
  </si>
  <si>
    <t>The right hotels make the reader think: 'I did not realise I could have this kind of hotel experience at that price.'</t>
  </si>
  <si>
    <t>Rank</t>
  </si>
  <si>
    <t>Hotel</t>
  </si>
  <si>
    <t>City</t>
  </si>
  <si>
    <t>Country</t>
  </si>
  <si>
    <t>Region</t>
  </si>
  <si>
    <t>Budget tier</t>
  </si>
  <si>
    <t>Typical price range</t>
  </si>
  <si>
    <t>Claimed stars</t>
  </si>
  <si>
    <t>Review score</t>
  </si>
  <si>
    <t>Hotel type</t>
  </si>
  <si>
    <t>Best nearby attraction</t>
  </si>
  <si>
    <t>Best food / restaurant angle</t>
  </si>
  <si>
    <t>Main caution</t>
  </si>
  <si>
    <t>Value score</t>
  </si>
  <si>
    <t>Verdict</t>
  </si>
  <si>
    <t>Recommend for first batch?</t>
  </si>
  <si>
    <t>Angkor Aurora</t>
  </si>
  <si>
    <t>Siem Reap</t>
  </si>
  <si>
    <t>Cambodia</t>
  </si>
  <si>
    <t>Southeast Asia</t>
  </si>
  <si>
    <t>Under €100</t>
  </si>
  <si>
    <t>~€45–€90; off-season from ~€40</t>
  </si>
  <si>
    <t>5 (local)</t>
  </si>
  <si>
    <t>Booking ~8.7 / Google ~4.6</t>
  </si>
  <si>
    <t>City spa hotel</t>
  </si>
  <si>
    <t>Angkor Wat &amp; Angkor Archaeological Park (15–20 min by tuk-tuk)</t>
  </si>
  <si>
    <t>Pub Street area; Marum (training restaurant); Khmer barbecue on Wat Bo Rd</t>
  </si>
  <si>
    <t>Local 5-star: smart and serviceable, not international luxury</t>
  </si>
  <si>
    <t>Strong value</t>
  </si>
  <si>
    <t>Yes (Top 20)</t>
  </si>
  <si>
    <t>Malak Regency Hotel</t>
  </si>
  <si>
    <t>Sarajevo</t>
  </si>
  <si>
    <t>Bosnia and Herzegovina</t>
  </si>
  <si>
    <t>Balkans</t>
  </si>
  <si>
    <t>Under €200</t>
  </si>
  <si>
    <t>~€90–€160; sometimes under €100 midweek</t>
  </si>
  <si>
    <t>Booking ~9.0 / Google ~4.7</t>
  </si>
  <si>
    <t>City luxury</t>
  </si>
  <si>
    <t>Baščaršija old bazaar, Latin Bridge, Tunnel of Hope</t>
  </si>
  <si>
    <t>Ćevabdžinica Željo for ćevapi; Dveri for traditional; Park Prinčeva for hilltop views</t>
  </si>
  <si>
    <t>Hilltop position means a steep walk back from town</t>
  </si>
  <si>
    <t>Meliá Yangon</t>
  </si>
  <si>
    <t>Yangon</t>
  </si>
  <si>
    <t>Myanmar</t>
  </si>
  <si>
    <t>~€55–€100</t>
  </si>
  <si>
    <t>5</t>
  </si>
  <si>
    <t>Booking ~8.6 / Google ~4.5</t>
  </si>
  <si>
    <t>Shwedagon Pagoda; Inya &amp; Kandawgyi lakes</t>
  </si>
  <si>
    <t>Rangoon Tea House (modern Burmese); Le Planteur (fine dining); 19th Street BBQ</t>
  </si>
  <si>
    <t>Political situation — check current travel advice before booking</t>
  </si>
  <si>
    <t>Good value (conditional)</t>
  </si>
  <si>
    <t>Yes (Top 20, with caveat)</t>
  </si>
  <si>
    <t>The Raweekanlaya Bangkok Wellness Cuisine Resort</t>
  </si>
  <si>
    <t>Bangkok</t>
  </si>
  <si>
    <t>Thailand</t>
  </si>
  <si>
    <t>Under €250</t>
  </si>
  <si>
    <t>~€150–€230; off-peak from ~€120</t>
  </si>
  <si>
    <t>Heritage wellness resort</t>
  </si>
  <si>
    <t>Wat Pho, Grand Palace, Wat Arun across the river</t>
  </si>
  <si>
    <t>Err for Thai street food upscale; Tha Tien market; Eat Sight Story Deck</t>
  </si>
  <si>
    <t>Old-town location is romantic but less convenient for nightlife or Sukhumvit dining</t>
  </si>
  <si>
    <t>Exceptional value</t>
  </si>
  <si>
    <t>Hotel Majapahit Surabaya – MGallery</t>
  </si>
  <si>
    <t>Surabaya</t>
  </si>
  <si>
    <t>Indonesia</t>
  </si>
  <si>
    <t>~€70–€120</t>
  </si>
  <si>
    <t>Heritage hotel</t>
  </si>
  <si>
    <t>House of Sampoerna, Arab Quarter &amp; Ampel mosque, 10 November Museum</t>
  </si>
  <si>
    <t>Rawon Setan beef soup; Pasar Atom; Bumbu Desa Padang food</t>
  </si>
  <si>
    <t>Surabaya is hot, traffic-heavy and not a tourist city</t>
  </si>
  <si>
    <t>The Phoenix Hotel Yogyakarta – Handwritten Collection</t>
  </si>
  <si>
    <t>Yogyakarta</t>
  </si>
  <si>
    <t>~€60–€110</t>
  </si>
  <si>
    <t>5 (heritage)</t>
  </si>
  <si>
    <t>Booking ~8.6 / Google ~4.6</t>
  </si>
  <si>
    <t>Heritage boutique</t>
  </si>
  <si>
    <t>Borobudur, Prambanan, Kraton Palace, Malioboro Street</t>
  </si>
  <si>
    <t>Gudeg Yu Djum; Sate Klathak Pak Pong; Via Via café</t>
  </si>
  <si>
    <t>Building is heritage — quirks, not faults</t>
  </si>
  <si>
    <t>The Royal Surakarta Heritage – Handwritten Collection</t>
  </si>
  <si>
    <t>Solo (Surakarta)</t>
  </si>
  <si>
    <t>~€45–€85</t>
  </si>
  <si>
    <t>Booking ~8.5 / Google ~4.5</t>
  </si>
  <si>
    <t>Kasunanan &amp; Mangkunegaran palaces; Pasar Klewer batik market</t>
  </si>
  <si>
    <t>Selat Solo Mbak Lies; Timlo Sastro; Sate Buntel Mbok Galak</t>
  </si>
  <si>
    <t>Solo has limited international tourism — appeal is depth, not buzz</t>
  </si>
  <si>
    <t>Boton Blue Hotel &amp; Spa</t>
  </si>
  <si>
    <t>Nha Trang</t>
  </si>
  <si>
    <t>Vietnam</t>
  </si>
  <si>
    <t>~€55–€95</t>
  </si>
  <si>
    <t>Booking ~8.7 / Google ~4.5</t>
  </si>
  <si>
    <t>Beach city resort</t>
  </si>
  <si>
    <t>Nha Trang Beach, Po Nagar Cham towers, Hon Mun islands</t>
  </si>
  <si>
    <t>Lac Canh BBQ; Nem Nuong Dang Van Quyen; Yen’s Restaurant</t>
  </si>
  <si>
    <t>Nha Trang itself attracts a lot of mass tourism</t>
  </si>
  <si>
    <t>Silk Path Grand Hue Hotel &amp; Spa</t>
  </si>
  <si>
    <t>Hue</t>
  </si>
  <si>
    <t>Booking ~8.8 / Google ~4.6</t>
  </si>
  <si>
    <t>Imperial Citadel; Khai Dinh, Minh Mang &amp; Tu Duc tombs</t>
  </si>
  <si>
    <t>Bún bò Huế at Bun Bo Ba My; Madam Thu; Hanh Restaurant</t>
  </si>
  <si>
    <t>Hue’s rainy season is genuinely wet</t>
  </si>
  <si>
    <t>Steigenberger Resort Achti Luxor</t>
  </si>
  <si>
    <t>Luxor</t>
  </si>
  <si>
    <t>Egypt</t>
  </si>
  <si>
    <t>Middle East / North Africa</t>
  </si>
  <si>
    <t>~€80–€150 half-board</t>
  </si>
  <si>
    <t>Booking ~8.4 / Google ~4.4</t>
  </si>
  <si>
    <t>Nile resort</t>
  </si>
  <si>
    <t>Karnak &amp; Luxor temples; Valley of the Kings across the river</t>
  </si>
  <si>
    <t>Sofra (Egyptian); 1886 Restaurant at the Winter Palace; on-site Nile-view dining</t>
  </si>
  <si>
    <t>Luxor itself can feel hassle-heavy outside hotel grounds</t>
  </si>
  <si>
    <t>Pleiada Boutique Hotel &amp; Spa</t>
  </si>
  <si>
    <t>Iași</t>
  </si>
  <si>
    <t>Romania</t>
  </si>
  <si>
    <t>Eastern Europe</t>
  </si>
  <si>
    <t>~€90–€160</t>
  </si>
  <si>
    <t>Booking ~9.4 / Google ~4.7</t>
  </si>
  <si>
    <t>Boutique spa</t>
  </si>
  <si>
    <t>Palace of Culture, Trei Ierarhi monastery, Copou park</t>
  </si>
  <si>
    <t>Casa Bolta Rece; La Castel; Trattoria il Calcio</t>
  </si>
  <si>
    <t>Iași is not a known destination — sell it as a discovery</t>
  </si>
  <si>
    <t>The Hermitage, A Tribute Portfolio Hotel</t>
  </si>
  <si>
    <t>Jakarta</t>
  </si>
  <si>
    <t>~€100–€170</t>
  </si>
  <si>
    <t>Heritage city hotel</t>
  </si>
  <si>
    <t>National Museum; Kota Tua old town; Istiqlal Mosque</t>
  </si>
  <si>
    <t>Plataran Menteng; Sate Khas Senayan; Bakmi GM; Pasar Santa food court</t>
  </si>
  <si>
    <t>Jakarta traffic shapes everything — pick neighbourhoods wisely</t>
  </si>
  <si>
    <t>The Majestic Hotel Kuala Lumpur, Autograph Collection</t>
  </si>
  <si>
    <t>Kuala Lumpur</t>
  </si>
  <si>
    <t>Malaysia</t>
  </si>
  <si>
    <t>~€130–€220</t>
  </si>
  <si>
    <t>Heritage city luxury</t>
  </si>
  <si>
    <t>Petronas Towers; Batu Caves; Merdeka Square &amp; old KL</t>
  </si>
  <si>
    <t>Jalan Alor street food; Yut Kee Kopitiam; Bijan (Malay fine dining)</t>
  </si>
  <si>
    <t>Old wing rooms feel grand; tower wing feels modern but less special</t>
  </si>
  <si>
    <t>Stamba Hotel</t>
  </si>
  <si>
    <t>Tbilisi</t>
  </si>
  <si>
    <t>Georgia</t>
  </si>
  <si>
    <t>Caucasus</t>
  </si>
  <si>
    <t>~€150–€230</t>
  </si>
  <si>
    <t>Booking ~9.1 / Google ~4.7</t>
  </si>
  <si>
    <t>Design city luxury</t>
  </si>
  <si>
    <t>Old Tbilisi sulphur baths; Narikala fortress; Mtatsminda funicular</t>
  </si>
  <si>
    <t>Shavi Lomi; Barbarestan; Café Stamba on site; Khinkali at Pasanauri</t>
  </si>
  <si>
    <t>Russian-Georgian political tension occasionally affects flights/sentiment</t>
  </si>
  <si>
    <t>Grand Hotel Yerevan</t>
  </si>
  <si>
    <t>Yerevan</t>
  </si>
  <si>
    <t>Armenia</t>
  </si>
  <si>
    <t>~€110–€180</t>
  </si>
  <si>
    <t>Booking ~9.0 / Google ~4.6</t>
  </si>
  <si>
    <t>Cascade &amp; Cafesjian Center; Matenadaran; Republic Square; Garni &amp; Geghard</t>
  </si>
  <si>
    <t>Lavash; Sherep; Tavern Yerevan; Dolmama</t>
  </si>
  <si>
    <t>Regional politics (Nagorno-Karabakh) — sensitive context</t>
  </si>
  <si>
    <t>Hyatt Regency Tashkent</t>
  </si>
  <si>
    <t>Tashkent</t>
  </si>
  <si>
    <t>Uzbekistan</t>
  </si>
  <si>
    <t>Central Asia</t>
  </si>
  <si>
    <t>~€120–€190</t>
  </si>
  <si>
    <t>Booking ~8.9 / Google ~4.7</t>
  </si>
  <si>
    <t>Khast Imam complex; Chorsu Bazaar; day trips to Samarkand &amp; Bukhara</t>
  </si>
  <si>
    <t>Plov Center (Central Asian Plov Centre); Caravan; Afsona</t>
  </si>
  <si>
    <t>Tashkent is sprawling and Soviet — the city itself rewards patience</t>
  </si>
  <si>
    <t>Sofitel Marrakech Lounge &amp; Spa</t>
  </si>
  <si>
    <t>Marrakech</t>
  </si>
  <si>
    <t>Morocco</t>
  </si>
  <si>
    <t>North Africa</t>
  </si>
  <si>
    <t>~€140–€240</t>
  </si>
  <si>
    <t>City resort</t>
  </si>
  <si>
    <t>Jemaa el-Fnaa, Bahia Palace, Majorelle Garden, Atlas day trips</t>
  </si>
  <si>
    <t>Nomad; Le Jardin; Dar Yacout; street food on Jemaa el-Fnaa</t>
  </si>
  <si>
    <t>Hivernage is a hotel district — riads inside the medina are more atmospheric</t>
  </si>
  <si>
    <t>I'M Hotel Makati</t>
  </si>
  <si>
    <t>Makati</t>
  </si>
  <si>
    <t>Philippines</t>
  </si>
  <si>
    <t>Urban luxury</t>
  </si>
  <si>
    <t>Poblacion nightlife; Ayala Museum; Intramuros old Manila</t>
  </si>
  <si>
    <t>Toyo Eatery; Mecha Uma; Sarsa; the Poblacion bar/food crawl</t>
  </si>
  <si>
    <t>Manila traffic is severe — base yourself well</t>
  </si>
  <si>
    <t>NH Collection Bogotá WTC Royal</t>
  </si>
  <si>
    <t>Bogotá</t>
  </si>
  <si>
    <t>Colombia</t>
  </si>
  <si>
    <t>South America</t>
  </si>
  <si>
    <t>Booking ~8.9 / Google ~4.6</t>
  </si>
  <si>
    <t>Business city luxury</t>
  </si>
  <si>
    <t>La Candelaria old town; Monserrate; Museo del Oro; Zona G dining</t>
  </si>
  <si>
    <t>Andrés Carne de Res; Leo (one of LatAm’s 50 Best); Salvo Patria; El Chato</t>
  </si>
  <si>
    <t>Bogotá altitude (2,600 m) — pace yourself the first day</t>
  </si>
  <si>
    <t>Mandarina Colombo (Mandarin Colombo)</t>
  </si>
  <si>
    <t>Colombo</t>
  </si>
  <si>
    <t>Sri Lanka</t>
  </si>
  <si>
    <t>South Asia</t>
  </si>
  <si>
    <t>~€90–€170</t>
  </si>
  <si>
    <t>Modern city luxury</t>
  </si>
  <si>
    <t>Galle Face Green; Gangaramaya Temple; Pettah market; day trip to Galle</t>
  </si>
  <si>
    <t>Ministry of Crab; Nuga Gama at Cinnamon Grand; Upali’s; Kaema Sutra</t>
  </si>
  <si>
    <t>Colombo is usually a 1–2 night base, not a destination in itself</t>
  </si>
  <si>
    <t>Grand Mercure Medan Angkasa</t>
  </si>
  <si>
    <t>Medan</t>
  </si>
  <si>
    <t>Business city hotel</t>
  </si>
  <si>
    <t>Maimun Palace; Tjong A Fie mansion; Lake Toba (day or overnight)</t>
  </si>
  <si>
    <t>Soto Sinar Pagi; Tip Top (heritage Indonesian-Dutch); Nasi Padang at Garuda</t>
  </si>
  <si>
    <t>Medan itself is rough around the edges — best as a launch base</t>
  </si>
  <si>
    <t>Good value</t>
  </si>
  <si>
    <t>Backup</t>
  </si>
  <si>
    <t>Novotel Ahmedabad</t>
  </si>
  <si>
    <t>Ahmedabad</t>
  </si>
  <si>
    <t>India</t>
  </si>
  <si>
    <t>Business hotel</t>
  </si>
  <si>
    <t>Sabarmati Ashram; Adalaj Stepwell; Old Ahmedabad UNESCO walks</t>
  </si>
  <si>
    <t>Agashiye (Gujarati thali at House of MG); Tomato’s; Manek Chowk night market</t>
  </si>
  <si>
    <t>Local five-star, not international luxury</t>
  </si>
  <si>
    <t>Millennium Downtown Abu Dhabi</t>
  </si>
  <si>
    <t>Abu Dhabi</t>
  </si>
  <si>
    <t>United Arab Emirates</t>
  </si>
  <si>
    <t>Middle East</t>
  </si>
  <si>
    <t>~€80–€160; summer cheaper</t>
  </si>
  <si>
    <t>Booking ~8.3 / Google ~4.3</t>
  </si>
  <si>
    <t>City hotel</t>
  </si>
  <si>
    <t>Sheikh Zayed Grand Mosque; Louvre Abu Dhabi; Corniche</t>
  </si>
  <si>
    <t>Beirut Sur Mer; Em Sherif; on-site Capital Grill</t>
  </si>
  <si>
    <t>Summer heat is extreme — pool and indoor activities only</t>
  </si>
  <si>
    <t>Good value (seasonal)</t>
  </si>
  <si>
    <t>Real Marina Hotel &amp; Spa</t>
  </si>
  <si>
    <t>Olhão</t>
  </si>
  <si>
    <t>Portugal</t>
  </si>
  <si>
    <t>Western Europe</t>
  </si>
  <si>
    <t>~€90–€180; shoulder cheaper</t>
  </si>
  <si>
    <t>Booking ~8.5 / Google ~4.4</t>
  </si>
  <si>
    <t>Marina resort</t>
  </si>
  <si>
    <t>Ria Formosa islands (Armona, Culatra); Olhão cubist market</t>
  </si>
  <si>
    <t>Cafe Bandeira; Vai e Volta; tinned fish at Casa da Conserveira</t>
  </si>
  <si>
    <t>Olhão is quieter than Faro/Albufeira — sell as a slow Algarve</t>
  </si>
  <si>
    <t>Graffit Gallery Design Hotel</t>
  </si>
  <si>
    <t>Varna</t>
  </si>
  <si>
    <t>Bulgaria</t>
  </si>
  <si>
    <t>Design boutique</t>
  </si>
  <si>
    <t>Varna Archaeological Museum (oldest gold in the world); Sea Garden; Roman Baths</t>
  </si>
  <si>
    <t>Staria Chinar; Pavaja; Boom Burgers; rooftop dining at Graffit</t>
  </si>
  <si>
    <t>Varna’s Black Sea image is mass-market; this hotel sits in the smarter centre</t>
  </si>
  <si>
    <t>Price/value (25)</t>
  </si>
  <si>
    <t>Character (20)</t>
  </si>
  <si>
    <t>Reviews (15)</t>
  </si>
  <si>
    <t>Location (15)</t>
  </si>
  <si>
    <t>Sights &amp; food (15)</t>
  </si>
  <si>
    <t>Risk inverted (10)</t>
  </si>
  <si>
    <t>Computed score</t>
  </si>
  <si>
    <t>Final score</t>
  </si>
  <si>
    <t>Weighting key</t>
  </si>
  <si>
    <t>Price/value vs local five-star market</t>
  </si>
  <si>
    <t>25</t>
  </si>
  <si>
    <t>Hotel character or luxury feel</t>
  </si>
  <si>
    <t>20</t>
  </si>
  <si>
    <t>Review strength and consistency</t>
  </si>
  <si>
    <t>15</t>
  </si>
  <si>
    <t>Location usefulness</t>
  </si>
  <si>
    <t>Nearby sights / food / experiences</t>
  </si>
  <si>
    <t>Risk inverted (lower risk = more points)</t>
  </si>
  <si>
    <t>10</t>
  </si>
  <si>
    <t>Total weighting</t>
  </si>
  <si>
    <t>100</t>
  </si>
  <si>
    <t>City, Country</t>
  </si>
  <si>
    <t>Five-star status</t>
  </si>
  <si>
    <t>Best for</t>
  </si>
  <si>
    <t>Why it is interesting</t>
  </si>
  <si>
    <t>Why it is good value</t>
  </si>
  <si>
    <t>Price notes</t>
  </si>
  <si>
    <t>Location and nearby sights</t>
  </si>
  <si>
    <t>Food and things to do nearby</t>
  </si>
  <si>
    <t>Best time to book</t>
  </si>
  <si>
    <t>Watch out for</t>
  </si>
  <si>
    <t>Verdict label</t>
  </si>
  <si>
    <t>Verdict (1-sentence)</t>
  </si>
  <si>
    <t>Siem Reap, Cambodia</t>
  </si>
  <si>
    <t>Local/booking-site five-star</t>
  </si>
  <si>
    <t>Couples, history trip, first Angkor visit</t>
  </si>
  <si>
    <t>A polished, calm spa hotel only minutes from Angkor Wat at prices that feel almost accidental. Big rooms, a quiet pool deck, attentive Khmer service, and a location close enough to Pub Street to walk back from dinner.</t>
  </si>
  <si>
    <t>Cambodia’s hotel market is structurally cheap, and Aurora trades on Siem Reap’s deep luxury inventory. You get a full-service hotel with pool, spa and breakfast for under what a basic guesthouse costs in Europe.</t>
  </si>
  <si>
    <t>Often seen around €45–€80 outside peak Nov–Feb. Holiday weeks (Christmas, Chinese New Year) can push above €120. Breakfast usually included; taxes often baked into the rate.</t>
  </si>
  <si>
    <t>Quiet east-bank position near Wat Bo, ~1.5 km to Pub Street and the Old Market. Tuk-tuks are everywhere and cheap. Angkor Wat sunrise is a 15-minute pre-dawn ride. Walkable to local cafés, not to the temples.</t>
  </si>
  <si>
    <t>Eat at Marum for inventive Khmer (and to support youth-at-risk training). Try amok and grilled freshwater fish at Khmer Family Restaurant. The Lane and Wat Bo Rd. have low-key local barbecue. Cocktails at Miss Wong are a Siem Reap institution.</t>
  </si>
  <si>
    <t>May–September is cheapest and least crowded. Avoid Khmer New Year (mid-April) and Christmas week.</t>
  </si>
  <si>
    <t>This is a local five-star, not a true international luxury hotel. Service is warm but breakfast and gym are modest. The location is calm rather than central — fine if you plan to use tuk-tuks.</t>
  </si>
  <si>
    <t>An honest, well-priced base for the Angkor temples; the price-to-experience ratio is one of the best in Southeast Asia.</t>
  </si>
  <si>
    <t>Sarajevo, Bosnia and Herzegovina</t>
  </si>
  <si>
    <t>Couples, city break, history trip</t>
  </si>
  <si>
    <t>A polished, contemporary hotel set high on the Mejtaš ridge with sweeping rooftop views over Sarajevo’s minarets and red roofs. Rooms are larger and quieter than most central options and the breakfast is unusually generous.</t>
  </si>
  <si>
    <t>Sarajevo remains one of Europe’s most underpriced capitals. For under €150 you get a full-service contemporary hotel with spa and restaurant — and a view few European five-stars can match.</t>
  </si>
  <si>
    <t>Often around €90–€140 outside summer weekends. Can rise above €200 in July–August or during the Sarajevo Film Festival. Breakfast typically included.</t>
  </si>
  <si>
    <t>Five minutes downhill to the Latin Bridge and the Ottoman quarter of Baščaršija. The walk back uphill is steep — useful to know in summer or with luggage. Taxis are cheap.</t>
  </si>
  <si>
    <t>Eat ćevapi at Željo or Petica, sip Bosnian coffee in a copper džezva at Baščaršija, then climb to Park Prinčeva for sunset. Day trip to Mostar (2 hr) or the Tunnel of Hope museum.</t>
  </si>
  <si>
    <t>Late spring and early autumn are cheapest and most comfortable. Avoid the Film Festival (mid-August) if budget matters.</t>
  </si>
  <si>
    <t>The hill is real — pack light shoes. Some upper-floor rooms hear the call to prayer; charming for some, not for others.</t>
  </si>
  <si>
    <t>Sarajevo’s best value contemporary five-star, with a view that punches well above its price.</t>
  </si>
  <si>
    <t>Yangon, Myanmar</t>
  </si>
  <si>
    <t>True international five-star</t>
  </si>
  <si>
    <t>Solo travellers, stopover, business</t>
  </si>
  <si>
    <t>A genuine international five-star — large rooms, marble lobby, infinity pool overlooking Inya Lake — at prices closer to a mid-range city hotel elsewhere in the region. One of the few Western-branded properties still operating in Yangon.</t>
  </si>
  <si>
    <t>Myanmar’s tourism collapse since 2021 has pushed even branded luxury inventory to fire-sale levels. The hotel itself is unchanged; the wider context is what makes it cheap.</t>
  </si>
  <si>
    <t>Often around €55–€90 including breakfast. Rates rarely spike, since demand is low. Pay attention to USD/EUR exchange and card-acceptance limitations inside the country.</t>
  </si>
  <si>
    <t>Modern north-Yangon district near Inya Lake and the airport. The pagodas and downtown colonial quarter are 20–30 min by taxi. Walkability is limited; expect to use Grab or hotel cars.</t>
  </si>
  <si>
    <t>Visit Shwedagon at sunset — the single non-negotiable sight in Yangon. Eat tea-leaf salad and Shan noodles at Rangoon Tea House. Night street barbecue on 19th Street. Bogyoke Aung San Market for handicrafts.</t>
  </si>
  <si>
    <t>November–February is the comfortable season. Rates are flat year-round.</t>
  </si>
  <si>
    <t>Myanmar’s political situation is unresolved; check your country’s travel advice. Card payments inside the country are unreliable — bring clean USD cash. Promotion of this hotel should always include political context.</t>
  </si>
  <si>
    <t>A real international five-star at near-impossible prices, but only for travellers comfortable with the country’s current realities.</t>
  </si>
  <si>
    <t>Bangkok, Thailand</t>
  </si>
  <si>
    <t>True international five-star (heritage)</t>
  </si>
  <si>
    <t>Couples, special occasion, history trip</t>
  </si>
  <si>
    <t>A small, garden-set heritage hotel inside the former Suan Sunandha palace complex, with stucco pavilions, lily ponds and a focus on Thai wellness cuisine. Few hotels anywhere in the world combine this much character with this much quiet.</t>
  </si>
  <si>
    <t>Bangkok’s headline five-stars (Mandarin Oriental, Capella) sit at €500+. The Raweekanlaya delivers a comparable sense of occasion at a third of the price — because it is small, residential and unbranded.</t>
  </si>
  <si>
    <t>Often around €150–€220 with breakfast and an excellent set dinner option. Drops below €150 in low season. Peak around New Year and Songkran.</t>
  </si>
  <si>
    <t>On the doorstep of Wat Pho and the Grand Palace, with Wat Arun visible across the Chao Phraya. The Old Town is walkable; for Sukhumvit nightlife you’ll want a Grab (15–25 min) or the MRT.</t>
  </si>
  <si>
    <t>Eat khao soi and northern Thai at Err, just behind Wat Pho. Floating markets at Khlong Lat Mayom on weekends. Sunset cocktails at Eagle Nest Bar with Wat Arun directly opposite. Tha Tien pier markets for street food.</t>
  </si>
  <si>
    <t>June–October is cheapest (rain comes in short bursts). Avoid Christmas–New Year, Chinese New Year and Songkran.</t>
  </si>
  <si>
    <t>Not a tower hotel — no skyline views, no rooftop bar. The Old Town shuts early. If you want Bangkok nightlife you’ll commute.</t>
  </si>
  <si>
    <t>One of the most distinctive heritage stays in Asia, and astonishing value for what it delivers.</t>
  </si>
  <si>
    <t>Surabaya, Indonesia</t>
  </si>
  <si>
    <t>Heritage-value five-star</t>
  </si>
  <si>
    <t>History trip, couples, stopover</t>
  </si>
  <si>
    <t>A 1910 colonial hotel where Indonesia’s independence flag was first raised — courtyards, frangipani, an old-world bar and rooms with verandahs that face inward to gardens. The building itself is the reason to come.</t>
  </si>
  <si>
    <t>Surabaya is a business city with limited leisure demand, so a genuine MGallery heritage hotel trades at prices that would barely buy a midscale Accor in Europe.</t>
  </si>
  <si>
    <t>Often around €70–€110 including breakfast. Weekday business pricing is sometimes higher than weekends — the opposite of leisure cities.</t>
  </si>
  <si>
    <t>On Jalan Tunjungan, central but on a busy road. Walkable to House of Sampoerna and the old Dutch quarter; taxis (Grab) for everywhere else.</t>
  </si>
  <si>
    <t>Try rawon (black-nut beef soup) at Rawon Setan, rujak cingur at Pasar Genteng, and excellent Padang food across the city. Surabaya is one of Indonesia’s best eating cities and one of its least visited.</t>
  </si>
  <si>
    <t>May–October is dry and most pleasant. Eid (Lebaran) sees domestic price spikes.</t>
  </si>
  <si>
    <t>Surabaya is not a tourist destination — heat, traffic and limited walkability. Treat the hotel as the experience, with the city as a side dish.</t>
  </si>
  <si>
    <t>A landmark Indonesian heritage hotel at a price that makes a Java itinerary genuinely cheap.</t>
  </si>
  <si>
    <t>Yogyakarta, Indonesia</t>
  </si>
  <si>
    <t>Couples, culture trip, Borobudur visit</t>
  </si>
  <si>
    <t>A 1918 Indo-European mansion with arched verandahs around a courtyard pool. Yogyakarta’s most atmospheric central hotel, and an effortless base for Borobudur sunrise and the city’s arts scene.</t>
  </si>
  <si>
    <t>Indonesia outside Bali is structurally cheap, and Yogya’s leisure pricing has not caught up to its growing fame. A heritage Accor under €100 is almost unheard of in Southeast Asia.</t>
  </si>
  <si>
    <t>Often €60–€100 with breakfast. Rates rise around Idul Fitri and Western Christmas. Free cancellation common.</t>
  </si>
  <si>
    <t>Central, ~15 min walk to Malioboro and the Kraton. Borobudur is ~1 hr drive; Prambanan ~45 min. Easy day-trip city.</t>
  </si>
  <si>
    <t>Eat gudeg (jackfruit stew) at Yu Djum, sate klathak at Pak Pong, and excellent coffee at Klinik Kopi. Don’t miss a batik workshop or a shadow-puppet performance in the Kraton.</t>
  </si>
  <si>
    <t>May–September. Avoid Idul Fitri week — domestic demand spikes hard.</t>
  </si>
  <si>
    <t>Pool can be busy mid-afternoon; some rooms hear early-morning prayer call. These are character notes, not flaws.</t>
  </si>
  <si>
    <t>Among the best heritage hotels in Asia for the price; an obvious anchor for any Yogyakarta itinerary.</t>
  </si>
  <si>
    <t>Solo (Surakarta), Indonesia</t>
  </si>
  <si>
    <t>Culture trip, couples, off-the-track travellers</t>
  </si>
  <si>
    <t>An Accor heritage hotel in one of Java’s most culturally rich and least visited royal cities — Javanese palace architecture, gamelan in the evening, batik workshops within walking distance. Prices are genuinely under €100 most of the year.</t>
  </si>
  <si>
    <t>Solo sees a fraction of Yogya’s tourists despite arguably deeper court culture. Handwritten Collection branding sets a quality floor; local demand sets the price floor.</t>
  </si>
  <si>
    <t>Often €45–€80 with breakfast. Domestic holidays push prices up sharply but briefly.</t>
  </si>
  <si>
    <t>Walkable to the Kasunanan palace and Pasar Klewer. Borobudur and Prambanan are doable as long day trips. The Solo–Yogya train is comfortable and cheap.</t>
  </si>
  <si>
    <t>Selat Solo (a creole Javanese-Dutch steak salad) at Mbak Lies, timlo soup at Timlo Sastro, sate buntel (minced lamb satay) at Mbok Galak. Pasar Gede for early-morning food stalls.</t>
  </si>
  <si>
    <t>Dry season May–September. Avoid Sekaten festival weeks if you want a quiet stay (or seek it out if you don’t).</t>
  </si>
  <si>
    <t>Limited nightlife and few international restaurants. Sights close early. Best paired with Yogyakarta in a Java itinerary.</t>
  </si>
  <si>
    <t>A genuine heritage five-star under €100 in a city most travellers haven’t heard of — the exact promise of this site.</t>
  </si>
  <si>
    <t>Nha Trang, Vietnam</t>
  </si>
  <si>
    <t>Couples, beach break, spa weekend</t>
  </si>
  <si>
    <t>A tall, sleek beachfront tower with sea-view rooms and a rooftop pool, run as a polished local five-star at prices closer to mid-range. Good spa, generous breakfast, and direct access to one of Vietnam’s long sandy beaches.</t>
  </si>
  <si>
    <t>Vietnam’s coastal cities have over-built luxury inventory, which keeps prices soft outside Tet. Boton Blue isn’t internationally branded — and that is exactly why it costs €70 instead of €170.</t>
  </si>
  <si>
    <t>Often €55–€90 with breakfast. Tet (late Jan/Feb) and Chinese summer holidays push prices up. Free cancellation widely available.</t>
  </si>
  <si>
    <t>On the Tran Phu beach strip. Walk to the beach, to seafood places, and to Sailing Club. Boat trips to the Hon Mun islands depart from the southern harbour.</t>
  </si>
  <si>
    <t>Vietnamese grilled rolls (nem nuong) at Dang Van Quyen, fresh seafood barbecue at Lac Canh, and excellent egg coffee at any decent café. Snorkel the Hon Mun marine reserve on a day trip.</t>
  </si>
  <si>
    <t>February–August is the drier coastal window. Avoid Tet for both prices and closures.</t>
  </si>
  <si>
    <t>Nha Trang is a busy resort city with strong Russian and Chinese tourist flows; expect crowded beach areas in season. Hotel itself is calm.</t>
  </si>
  <si>
    <t>A genuinely beachfront affordable luxury option on Vietnam’s coast — modest in branding, strong in delivery.</t>
  </si>
  <si>
    <t>Hue, Vietnam</t>
  </si>
  <si>
    <t>Couples, history trip, central Vietnam itinerary</t>
  </si>
  <si>
    <t>A modern, well-run five-star on the Perfume River, walking distance to old-quarter restaurants and a short hop across the bridge to the Citadel. Rooftop pool, river-view rooms and a kind, well-trained staff.</t>
  </si>
  <si>
    <t>Hue gets less foreign tourism than Hoi An or Da Nang, so even its strongest hotels stay affordable. Silk Path delivers a true full-service hotel experience under €100.</t>
  </si>
  <si>
    <t>Often €60–€100 with breakfast. Tet and the Hue Festival (biennial) push prices up. Free cancellation typical.</t>
  </si>
  <si>
    <t>South bank near Le Loi street, walking distance to restaurants, river cruises and the Imperial Citadel (across the bridge). Tombs are a 20–30 min taxi.</t>
  </si>
  <si>
    <t>Eat bún bò Huế where the city invented it; try bánh khoái crispy pancakes and royal Hue cuisine at Ancient Hue. Dragon-boat dinner cruise on the Perfume River.</t>
  </si>
  <si>
    <t>February–April. Avoid Oct–Dec — central Vietnam’s wet season can flood.</t>
  </si>
  <si>
    <t>Hue is quieter than Hoi An; some travellers find it sleepy. The wet season is a real consideration.</t>
  </si>
  <si>
    <t>Hue’s most reliable affordable five-star and a strong anchor for an imperial-Vietnam itinerary.</t>
  </si>
  <si>
    <t>Luxor, Egypt</t>
  </si>
  <si>
    <t>History trip, couples, families</t>
  </si>
  <si>
    <t>A genuine European-branded Nile resort with palm gardens, two pools and direct river views from most rooms. The view at sunset — feluccas drifting in front of the Theban hills — is the experience.</t>
  </si>
  <si>
    <t>Egypt’s currency devaluation has made Nile resorts unusually cheap for international travellers. Steigenberger remains a known quality floor at half-board prices that would barely buy a city hotel in Europe.</t>
  </si>
  <si>
    <t>Often €80–€140 half-board outside Christmas/New Year. Summer rates collapse but only the heat-tolerant should consider June–August.</t>
  </si>
  <si>
    <t>On the east bank between Karnak and central Luxor. Karnak is a 10-minute taxi; the Valley of the Kings is a 20-minute drive across the bridge. Cruise ships dock minutes away.</t>
  </si>
  <si>
    <t>Eat at Sofra for proper Egyptian home cooking, tea at the Winter Palace garden, and consider a hot-air balloon over the Theban necropolis at dawn.</t>
  </si>
  <si>
    <t>October–April. November and February are ideal — warm days, cool nights.</t>
  </si>
  <si>
    <t>Hassle from touts at temple entrances and on the corniche is part of Luxor — use the hotel’s recommended guides. Hotel can host package tours in groups.</t>
  </si>
  <si>
    <t>An affordable, properly-branded Nile resort for the best concentration of ancient sights on earth.</t>
  </si>
  <si>
    <t>Iași, Romania</t>
  </si>
  <si>
    <t>True international five-star (small)</t>
  </si>
  <si>
    <t>Couples, spa weekend, romantic break</t>
  </si>
  <si>
    <t>A small, design-led boutique with one of the highest review scores in Europe and a proper spa floor — sauna, hammam, indoor pool — at prices a Western European city hotel would charge for a basic room.</t>
  </si>
  <si>
    <t>Iași is off the international map, so a genuine boutique five-star with a top-1% review score sells at well under €150. The hotel itself would be a €350 stay in Paris.</t>
  </si>
  <si>
    <t>Often €90–€140 with breakfast. Weekend spa packages can be the best value. Free cancellation common.</t>
  </si>
  <si>
    <t>On Copou hill near the old university and the Eminescu lime tree. Quiet, residential, ~15 min walk or short taxi to the Palace of Culture and the historic centre.</t>
  </si>
  <si>
    <t>Eat Moldavian Romanian food at Casa Bolta Rece (centuries-old wine cellars), and try the cozonac and local Cotnari wines. Iași is the cultural capital of Moldavia — concerts, monasteries, walks in Copou park.</t>
  </si>
  <si>
    <t>May–June and September–October are ideal. Christmas and New Year see local demand.</t>
  </si>
  <si>
    <t>Small hotel — limited room types. Iași needs context: it’s a quietly beautiful university city, not a major sight.</t>
  </si>
  <si>
    <t>One of the best price-to-quality boutique five-stars in Europe, hiding in plain sight.</t>
  </si>
  <si>
    <t>Jakarta, Indonesia</t>
  </si>
  <si>
    <t>Food trip, city break, business</t>
  </si>
  <si>
    <t>A 1923 Dutch colonial bank converted into a heritage hotel in Menteng — the embassy district, full of leafy streets and good restaurants. The marble lobby, rooftop pool and proper bar are rare in Jakarta at this price.</t>
  </si>
  <si>
    <t>Jakarta is a business city: rates soften dramatically on weekends, when international leisure travellers find heritage five-stars in central neighbourhoods for under €150.</t>
  </si>
  <si>
    <t>Often €100–€160 weekdays, often cheaper Fri–Sun. Marriott loyalty rates and AAA-style discounts apply. Breakfast frequently included.</t>
  </si>
  <si>
    <t>Menteng is leafy and walkable for Jakarta. Easy to reach the National Museum and Monas. The Kota Tua colonial old town and the Istiqlal/Cathedral pairing are 15–25 min by Grab.</t>
  </si>
  <si>
    <t>Use the hotel as a food base. Plataran Menteng for refined Indonesian; Bakmi GM for noodles; Sate Khas Senayan for satay. Don’t miss Pasar Santa’s food hall, regional Padang restaurants, and a rijsttafel night. The Mark Wiens Jakarta tour is a strong inspiration — chase soto Betawi, kerak telor and Glodok’s Chinese-Indonesian food.</t>
  </si>
  <si>
    <t>Book for weekends. Avoid Idul Fitri week. The dry season Jun–Sep is most comfortable.</t>
  </si>
  <si>
    <t>Jakarta traffic is real — plan dinners in walkable clusters. Pool is small.</t>
  </si>
  <si>
    <t>Jakarta’s best heritage-five-star base for a food-led city trip, especially on weekends.</t>
  </si>
  <si>
    <t>Kuala Lumpur, Malaysia</t>
  </si>
  <si>
    <t>Couples, special occasion, afternoon tea, stopover</t>
  </si>
  <si>
    <t>A 1932 white-stuccoed colonial hotel restored with one of Asia’s best Orchid Conservatories, a proper Smoke House cigar lounge and the city’s most photographed afternoon tea. The old wing is genuinely characterful.</t>
  </si>
  <si>
    <t>KL is the cheapest five-star city in Southeast Asia for international brands. A heritage Autograph Collection hotel at €150 here would be a €450 booking in Singapore.</t>
  </si>
  <si>
    <t>Often €130–€200 weekdays in the old wing; tower wing cheaper. Watch for Chinese New Year and F1 weekends.</t>
  </si>
  <si>
    <t>Opposite the old railway station, near the National Museum and Lake Gardens. KL Sentral and the Petronas Towers area are 5–10 min by Grab or short LRT ride.</t>
  </si>
  <si>
    <t>Eat at Jalan Alor at night, Yut Kee for kaya toast and Hainanese chicken chop, Bijan for Malay fine dining, and a Sunday curry at Lai Foong. Visit the Batu Caves and the Islamic Arts Museum.</t>
  </si>
  <si>
    <t>Year-round consistent. Best deals tend to be Sun–Thu and around school-term shoulders.</t>
  </si>
  <si>
    <t>Two wings — pay extra for the old (Majestic) wing. The neighbourhood is quiet at night; nightlife is a Grab away.</t>
  </si>
  <si>
    <t>KL’s most characterful five-star, and a textbook example of affordable Asian luxury.</t>
  </si>
  <si>
    <t>Tbilisi, Georgia</t>
  </si>
  <si>
    <t>True international five-star (design)</t>
  </si>
  <si>
    <t>Couples, design lovers, food trip</t>
  </si>
  <si>
    <t>A converted Soviet publishing house turned design hotel: double-height library lobby, vertical garden, rooftop pool with city views, and one of the region’s best independent restaurants downstairs. A true international design five-star at Georgian prices.</t>
  </si>
  <si>
    <t>Tbilisi punches above its price tier across the board. Stamba is a hotel that would be benchmarked against the Soho House group in London — and costs a third.</t>
  </si>
  <si>
    <t>Often €150–€220 with breakfast. Wine harvest (Oct) and summer can push prices up. Free cancellation common.</t>
  </si>
  <si>
    <t>Vera district near Rustaveli, walkable to the old town (15–20 min) and to the city’s best wine bars and restaurants. Liberty Square metro is close.</t>
  </si>
  <si>
    <t>Eat khinkali at Pasanauri, modern Georgian at Shavi Lomi, heritage dishes at Barbarestan, and amber wine at every chance. Day trip to Mtskheta or the wine country of Kakheti.</t>
  </si>
  <si>
    <t>May–June and September–October. Avoid late-summer heat.</t>
  </si>
  <si>
    <t>Tbilisi’s political backdrop and occasional protests on Rustaveli — check news before travel.</t>
  </si>
  <si>
    <t>A statement design hotel at a price most equivalent properties in Europe could not survive at — a flagship for the site.</t>
  </si>
  <si>
    <t>Yerevan, Armenia</t>
  </si>
  <si>
    <t>A restored 1926 building on Yerevan’s most beautiful street, with a tiny rooftop pool overlooking Mount Ararat on clear days. Personal service, classic interiors and one of the warmest small luxury hotels in the Caucasus.</t>
  </si>
  <si>
    <t>Yerevan is an undertouristed capital with genuine cultural depth. The Grand offers a small-luxury experience for the price of a midscale chain in Western Europe.</t>
  </si>
  <si>
    <t>Often €110–€170 with breakfast. Ararat-view rooms cost a premium. Free cancellation typical.</t>
  </si>
  <si>
    <t>On pedestrianised Abovyan; walkable to Republic Square, the Cascade and the opera. Garni Temple and Geghard Monastery are easy half-day trips.</t>
  </si>
  <si>
    <t>Eat Armenian classics at Lavash and Sherep, brandy tasting at Ararat or Noy, and try khorovats (grilled meat) at any neighbourhood tavern. Day trip to Lake Sevan and the monasteries.</t>
  </si>
  <si>
    <t>May–June and September–October are loveliest. Avoid Genocide Remembrance Day week (April 24) if seeking light tourism.</t>
  </si>
  <si>
    <t>Regional politics matter — write with care. Tiny pool; not the place for a beach holiday.</t>
  </si>
  <si>
    <t>Yerevan’s best small heritage five-star, and the right anchor for the city’s growing reputation.</t>
  </si>
  <si>
    <t>Tashkent, Uzbekistan</t>
  </si>
  <si>
    <t>Silk Road trip, couples, business</t>
  </si>
  <si>
    <t>A proper Hyatt Regency in the only Central Asian capital with a deep five-star inventory, at prices that look like a typo next to comparable Hyatts in Europe. Big rooms, large pool, strong breakfast, reliable airport pickups.</t>
  </si>
  <si>
    <t>Uzbekistan visa-free access and currency dynamics have left international branded inventory unusually cheap. Hyatt’s price floor here is set by local demand, not by the hotel’s global brand.</t>
  </si>
  <si>
    <t>Often €120–€180 with breakfast. Cooler shoulder seasons see best rates. Free cancellation common.</t>
  </si>
  <si>
    <t>Mirzo Ulug‘bek district, slightly out of the very centre but on the metro. Magic City park next door is family-friendly. Old Tashkent and Chorsu Bazaar are short metro rides.</t>
  </si>
  <si>
    <t>Eat plov at the Central Asian Plov Centre at lunchtime, modern Uzbek at Afsona, and Korean-Uzbek food (a Tashkent specialty) at any Koryo-saram café. Samarkand is a 2-hour high-speed train ride.</t>
  </si>
  <si>
    <t>April–May and September–October. Summer can be very hot; winter cold.</t>
  </si>
  <si>
    <t>Tashkent is a base, not a destination — sell it that way. Some recent reviews mention slow check-in at busy times.</t>
  </si>
  <si>
    <t>An effortless international five-star at near-Asian prices and a perfect launchpad for the Silk Road.</t>
  </si>
  <si>
    <t>Marrakech, Morocco</t>
  </si>
  <si>
    <t>Couples, spa weekend, first-time Marrakech</t>
  </si>
  <si>
    <t>A reliable Sofitel with gardens, two pools and an excellent hammam, on the western edge of the medina. Less atmospheric than a riad but easier — and frequently far cheaper than equivalent Sofitels in Europe.</t>
  </si>
  <si>
    <t>Marrakech has a vast luxury hotel supply that flexes hard with season and political news. The Sofitel often sells under €200 in shoulder months when European Sofitels are €400+.</t>
  </si>
  <si>
    <t>Often €140–€220 with breakfast. New Year and Easter are expensive; midweek shoulder months are the sweet spot.</t>
  </si>
  <si>
    <t>Hivernage district — 10-minute walk to Jemaa el-Fnaa, taxis everywhere. Quiet at night, useful with kids.</t>
  </si>
  <si>
    <t>Eat tagine at Nomad on a rooftop, modern Moroccan at Le Jardin, and tasting-menu Moroccan at Dar Yacout. Day trips: the Atlas, Essaouira on the coast, or the Agafay desert.</t>
  </si>
  <si>
    <t>March–May and October–November. Avoid Christmas, New Year and Easter for both prices and crowds.</t>
  </si>
  <si>
    <t>If you want the riad/medina experience, this is not it. Some reviewers note breakfast crowds at peak times.</t>
  </si>
  <si>
    <t>An affordable, reliable international five-star in one of the world’s most photogenic cities.</t>
  </si>
  <si>
    <t>Makati, Philippines</t>
  </si>
  <si>
    <t>True international five-star (modern)</t>
  </si>
  <si>
    <t>Couples, food trip, city break</t>
  </si>
  <si>
    <t>A tall, design-forward independent five-star in Poblacion — the right neighbourhood for Manila’s best food and bar scene. Rooftop infinity pool, big spa, and a price tag well below Marriott/Shangri-La equivalents.</t>
  </si>
  <si>
    <t>Manila’s headline five-stars are expensive; I’M is independent, which keeps it ~30–40% below Shangri-La pricing while offering similar facilities.</t>
  </si>
  <si>
    <t>Often €110–€170. Peak around Chinese New Year and around major Makati conferences. Free cancellation typical.</t>
  </si>
  <si>
    <t>On the edge of Poblacion, central Makati. Walk to Manila’s best food and bars; Grab everywhere else. BGC, Greenbelt malls and the airport are short rides.</t>
  </si>
  <si>
    <t>This is Manila’s best food neighbourhood. Toyo Eatery for modern Filipino, Mecha Uma for Japanese, Sarsa for traditional Filipino. Bar crawl in Poblacion.</t>
  </si>
  <si>
    <t>December–May is the dry, comfortable season. Avoid typhoon season Jun–Nov for outdoor plans.</t>
  </si>
  <si>
    <t>Some rooms hear Poblacion’s late-night energy — request higher floors. Manila traffic shapes every plan.</t>
  </si>
  <si>
    <t>Manila’s best price-to-quality independent five-star, in exactly the right neighbourhood for an eating trip.</t>
  </si>
  <si>
    <t>Bogotá, Colombia</t>
  </si>
  <si>
    <t>Business five-star bargain</t>
  </si>
  <si>
    <t>Business, stopover, food trip</t>
  </si>
  <si>
    <t>A polished business five-star next to Bogotá’s World Trade Center, with large rooms and a serious breakfast. Not romantic, but a strong value floor in a country still building its luxury inventory.</t>
  </si>
  <si>
    <t>Colombian peso weakness has kept international branded inventory cheap. NH Collection is reliably 30–40% under comparable Marriott/Hilton in Bogotá.</t>
  </si>
  <si>
    <t>Often €100–€160 with breakfast. Weekends cheaper than weekdays — a business hotel pattern. Free cancellation common.</t>
  </si>
  <si>
    <t>Chico Norte/El Retiro, in the safer, modern north of the city. Walking to Zona G restaurants and parkways; taxi/Uber to La Candelaria old town.</t>
  </si>
  <si>
    <t>Eat at Leo (LatAm’s most celebrated chef Leonor Espinosa), Andrés Carne de Res (an institution), and breakfast at any Juan Valdez café. Day trip to the Salt Cathedral at Zipaquirá.</t>
  </si>
  <si>
    <t>December–March. Weekends are cheaper than weekdays in Bogotá.</t>
  </si>
  <si>
    <t>Bogotá at 2,600 m — go easy the first day. Hotel area is safe; some districts are not — plan transport.</t>
  </si>
  <si>
    <t>A reliable business-luxury bargain that makes a Bogotá food trip easy and safe.</t>
  </si>
  <si>
    <t>Colombo, Sri Lanka</t>
  </si>
  <si>
    <t>Stopover, beach/island gateway, couples</t>
  </si>
  <si>
    <t>A newer high-rise five-star with a rooftop infinity pool and city-and-sea views, in central Colombo. Sri Lanka’s post-crisis recovery has kept rates soft despite first-class facilities.</t>
  </si>
  <si>
    <t>Sri Lanka’s tourism rebound is uneven, so even strong city five-stars sell at well under €200 outside peak. The hotel is brand-new and pricing as a market entrant.</t>
  </si>
  <si>
    <t>Often €90–€160 with breakfast. December–February peak. Free cancellation typical.</t>
  </si>
  <si>
    <t>Central, walking distance to Galle Face Green and Gangaramaya Temple. Pettah market and Fort station nearby. Easy launch point for the south coast and hill country.</t>
  </si>
  <si>
    <t>Eat at Ministry of Crab (one of Asia’s 50 Best), kottu and hoppers at Upali’s, and modern Sri Lankan at Kaema Sutra. Day trip to Galle Fort by Southern Expressway (~1.5 hr).</t>
  </si>
  <si>
    <t>December–March on the west coast. Avoid the southwest monsoon (May–Sep) if beach plans are key.</t>
  </si>
  <si>
    <t>Colombo is a transit city — most travellers don’t stay long. Some neighbourhoods around the hotel are still under construction.</t>
  </si>
  <si>
    <t>A new, affordable city five-star that makes Sri Lankan trips start (and end) well.</t>
  </si>
  <si>
    <t>Medan, Indonesia</t>
  </si>
  <si>
    <t>Sumatra trip, stopover before Lake Toba</t>
  </si>
  <si>
    <t>A reliable Accor five-star in a city with very little luxury inventory — the natural launch base for Lake Toba and northern Sumatra.</t>
  </si>
  <si>
    <t>Medan’s leisure demand is thin; Accor pricing reflects business rather than tourist demand.</t>
  </si>
  <si>
    <t>Often €55–€90 with breakfast. Weekend discounts common.</t>
  </si>
  <si>
    <t>Central, near Sun Plaza and the colonial Polonia district. Maimun Palace and Tjong A Fie are short Grab rides.</t>
  </si>
  <si>
    <t>Eat soto and Nasi Padang in the city, then take the road to Lake Toba — one of the most striking landscapes in Southeast Asia.</t>
  </si>
  <si>
    <t>Year-round consistent. Best on weekends.</t>
  </si>
  <si>
    <t>Medan is a working city, not a destination. Treat the hotel as a comfortable base before/after Lake Toba.</t>
  </si>
  <si>
    <t>Comfortable and cheap — but include only as a Sumatra base, not as a standalone reason to visit.</t>
  </si>
  <si>
    <t>Ahmedabad, India</t>
  </si>
  <si>
    <t>Business, stopover, Gujarat heritage trip</t>
  </si>
  <si>
    <t>Reliable Novotel quality at India’s typical pricing — useful before a Gujarat trip, especially the Rann of Kutch.</t>
  </si>
  <si>
    <t>India’s domestic chain pricing is structurally low. Novotel offers a known quality floor in a city with limited international branding.</t>
  </si>
  <si>
    <t>Often €55–€90. Indian festival weeks push prices up.</t>
  </si>
  <si>
    <t>SG Highway business corridor; Grab/Uber for everything historic.</t>
  </si>
  <si>
    <t>Eat a proper Gujarati thali at Agashiye, street food at Manek Chowk after dark, and try the city’s legendary heritage walk at dawn.</t>
  </si>
  <si>
    <t>November–February.</t>
  </si>
  <si>
    <t>Business hotel feel — not romantic. SG Highway location is convenient, not characterful.</t>
  </si>
  <si>
    <t>Cheap and reliable; include as a Gujarat-trip base, not as a destination hotel.</t>
  </si>
  <si>
    <t>Abu Dhabi, United Arab Emirates</t>
  </si>
  <si>
    <t>Stopover, summer bargain, families</t>
  </si>
  <si>
    <t>A standard Gulf five-star with a rooftop pool downtown — most interesting in summer, when Gulf hotel pricing collapses.</t>
  </si>
  <si>
    <t>Abu Dhabi summer rates can be 50%+ off winter pricing because heat keeps tourists away.</t>
  </si>
  <si>
    <t>Often €80–€120 in summer; €130–€200 in winter. Free cancellation typical.</t>
  </si>
  <si>
    <t>Downtown; taxi to Louvre Abu Dhabi and the Grand Mosque.</t>
  </si>
  <si>
    <t>Eat Lebanese at Em Sherif; tour the Louvre Abu Dhabi at sunset; visit the Sheikh Zayed Grand Mosque in white light.</t>
  </si>
  <si>
    <t>June–August for prices; November–March for weather.</t>
  </si>
  <si>
    <t>Summer heat means outdoor activities are off — sell as a pool/mall/culture stopover.</t>
  </si>
  <si>
    <t>A useful summer-bargain Gulf five-star; include only if the rate is genuinely seasonal.</t>
  </si>
  <si>
    <t>Olhão, Portugal</t>
  </si>
  <si>
    <t>Couples, beach gateway (Ria Formosa), spa weekend</t>
  </si>
  <si>
    <t>A marina-side five-star with rooftop pool and direct ferry access to the Ria Formosa islands — a quieter, more authentic Algarve.</t>
  </si>
  <si>
    <t>Algarve five-star pricing is dominated by Vale do Lobo and Quinta do Lago. Eastern Algarve (Olhão, Tavira) sees softer rates.</t>
  </si>
  <si>
    <t>Often €90–€160 with breakfast in shoulder. Peak July–August.</t>
  </si>
  <si>
    <t>At Olhão marina; ferries to Armona and Culatra islands; train to Faro in 10 min.</t>
  </si>
  <si>
    <t>Eat the day’s catch at Vai e Volta, browse the famed cubist twin markets, and ferry to a sandbank lunch.</t>
  </si>
  <si>
    <t>May–June and September–October.</t>
  </si>
  <si>
    <t>Some rooms over the marina hear morning fish-auction activity (charming or not).</t>
  </si>
  <si>
    <t>An eastern Algarve five-star where the islands are the point — strong in shoulder season.</t>
  </si>
  <si>
    <t>Varna, Bulgaria</t>
  </si>
  <si>
    <t>Local/booking-site five-star (strong)</t>
  </si>
  <si>
    <t>City break, art lovers, Black Sea gateway</t>
  </si>
  <si>
    <t>A design-forward central Varna hotel with rotating contemporary art, rooftop restaurant and one of the city’s best breakfasts.</t>
  </si>
  <si>
    <t>Bulgaria’s prices remain among Europe’s lowest; the hotel charges what a 4-star would in Greece.</t>
  </si>
  <si>
    <t>Often €90–€140 with breakfast. Summer holidays peak.</t>
  </si>
  <si>
    <t>Central, walking distance to the Sea Garden, Archaeological Museum and Roman Baths.</t>
  </si>
  <si>
    <t>Eat Bulgarian shopska and slow-cooked dishes at Staria Chinar; the Archaeological Museum’s gold collection is genuinely world-class.</t>
  </si>
  <si>
    <t>May–June and September.</t>
  </si>
  <si>
    <t>Varna’s beach districts are touristy and not a true luxury beach scene; the hotel itself is calm and central.</t>
  </si>
  <si>
    <t>A smart central design hotel for a Black Sea city trip — good value, but not yet must-include.</t>
  </si>
  <si>
    <t>Final Recommendations</t>
  </si>
  <si>
    <t>Curated lists for the first 20 hotel profiles on 50fivestarhotels.com</t>
  </si>
  <si>
    <t>Top 20 hotels to include</t>
  </si>
  <si>
    <t>#</t>
  </si>
  <si>
    <t>Why include / note</t>
  </si>
  <si>
    <t>5 backup hotels</t>
  </si>
  <si>
    <t>Hotels and categories rejected</t>
  </si>
  <si>
    <t>—</t>
  </si>
  <si>
    <t>Belgrade hotels (general)</t>
  </si>
  <si>
    <t>Belgrade, Serbia</t>
  </si>
  <si>
    <t>Removed from first batch per brief.</t>
  </si>
  <si>
    <t>Sharm El Sheikh resorts</t>
  </si>
  <si>
    <t>Sharm El Sheikh, Egypt</t>
  </si>
  <si>
    <t>Hurghada resorts</t>
  </si>
  <si>
    <t>Hurghada, Egypt</t>
  </si>
  <si>
    <t>Five-star hotels with weak recent reviews</t>
  </si>
  <si>
    <t>Various</t>
  </si>
  <si>
    <t>Skipped where 2024–2025 reviews show maintenance/service decline.</t>
  </si>
  <si>
    <t>Generic chain business hotels with no editorial angle</t>
  </si>
  <si>
    <t>Cheap but dull does not meet the editorial standard.</t>
  </si>
  <si>
    <t>Best 5 for the homepage</t>
  </si>
  <si>
    <t>The Raweekanlaya Bangkok</t>
  </si>
  <si>
    <t>Heritage palace gardens, exceptional value — the hero image of the project.</t>
  </si>
  <si>
    <t>Design hotel with global aesthetic credibility at Caucasian prices.</t>
  </si>
  <si>
    <t>Top-1% reviews; the discovery-luxury angle.</t>
  </si>
  <si>
    <t>The Phoenix Hotel Yogyakarta</t>
  </si>
  <si>
    <t>Colonial-era heritage with Borobudur — visual and price story.</t>
  </si>
  <si>
    <t>The Majestic Hotel Kuala Lumpur</t>
  </si>
  <si>
    <t>Iconic photo; a familiar destination to anchor first-time visitors.</t>
  </si>
  <si>
    <t>Best 5 for social media</t>
  </si>
  <si>
    <t>Palace gardens, koi ponds — Instagram-native.</t>
  </si>
  <si>
    <t>Library lobby and vertical garden — viral design imagery.</t>
  </si>
  <si>
    <t>Steigenberger Resort Achti</t>
  </si>
  <si>
    <t>Sunset feluccas on the Nile from the room balcony.</t>
  </si>
  <si>
    <t>Courtyard pool framed by colonial arches.</t>
  </si>
  <si>
    <t>Hammam and Marrakech red light — strong reels.</t>
  </si>
  <si>
    <t>Best 5 for SEO city pages</t>
  </si>
  <si>
    <t>High-volume 'KL five-star hotels' search demand.</t>
  </si>
  <si>
    <t>Bangkok luxury under €250 is a strong SEO cluster.</t>
  </si>
  <si>
    <t>The Hermitage Jakarta</t>
  </si>
  <si>
    <t>Jakarta cheap five-star hotels + food angle.</t>
  </si>
  <si>
    <t>Affordable Marrakech luxury — long-tail rich.</t>
  </si>
  <si>
    <t>'Best Nile hotels' / 'Luxor five-star' searches.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</si>
</sst>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22"/>
      <color rgb="FF1D2433"/>
      <name val="Arial"/>
      <charset val="1"/>
    </font>
    <font>
      <i/>
      <sz val="12"/>
      <color rgb="FFB88A44"/>
      <name val="Arial"/>
      <charset val="1"/>
    </font>
    <font>
      <b/>
      <sz val="11"/>
      <color rgb="FF1D2433"/>
      <name val="Arial"/>
      <charset val="1"/>
    </font>
    <font>
      <sz val="10"/>
      <color rgb="FF1D2433"/>
      <name val="Arial"/>
      <charset val="1"/>
    </font>
    <font>
      <b/>
      <sz val="11"/>
      <color rgb="FFFFFFFF"/>
      <name val="Arial"/>
      <charset val="1"/>
    </font>
    <font>
      <b/>
      <sz val="10"/>
      <color rgb="FF58745A"/>
      <name val="Arial"/>
      <charset val="1"/>
    </font>
    <font>
      <b/>
      <sz val="10"/>
      <color rgb="FF1D2433"/>
      <name val="Arial"/>
      <charset val="1"/>
    </font>
    <font>
      <b/>
      <sz val="18"/>
      <color rgb="FF1D2433"/>
      <name val="Arial"/>
      <charset val="1"/>
    </font>
  </fonts>
  <fills count="6">
    <fill>
      <patternFill patternType="none"/>
    </fill>
    <fill>
      <patternFill patternType="gray125"/>
    </fill>
    <fill>
      <patternFill patternType="solid">
        <fgColor rgb="FFF8F5EF"/>
        <bgColor rgb="FFFBF5E6"/>
      </patternFill>
    </fill>
    <fill>
      <patternFill patternType="solid">
        <fgColor rgb="FF1D2433"/>
        <bgColor rgb="FF333300"/>
      </patternFill>
    </fill>
    <fill>
      <patternFill patternType="solid">
        <fgColor rgb="FFE8F0E8"/>
        <bgColor rgb="FFF8F5EF"/>
      </patternFill>
    </fill>
    <fill>
      <patternFill patternType="solid">
        <fgColor rgb="FFFBF5E6"/>
        <bgColor rgb="FFF8F5EF"/>
      </patternFill>
    </fill>
  </fills>
  <borders count="2">
    <border>
      <left/>
      <right/>
      <top/>
      <bottom/>
      <diagonal/>
    </border>
    <border>
      <left style="thin">
        <color rgb="FFD9D2C5"/>
      </left>
      <right style="thin">
        <color rgb="FFD9D2C5"/>
      </right>
      <top style="thin">
        <color rgb="FFD9D2C5"/>
      </top>
      <bottom style="thin">
        <color rgb="FFD9D2C5"/>
      </bottom>
      <diagonal/>
    </border>
  </borders>
  <cellStyleXfs count="1">
    <xf numFmtId="0" fontId="0" fillId="0" borderId="0"/>
  </cellStyleXfs>
  <cellXfs count="14">
    <xf numFmtId="0" fontId="0" fillId="0" borderId="0" xfId="0"/>
    <xf numFmtId="0" fontId="3" fillId="2" borderId="1" xfId="0" applyFont="1" applyFill="1" applyBorder="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5" fillId="3" borderId="1" xfId="0" applyFont="1" applyFill="1" applyBorder="1" applyAlignment="1">
      <alignment horizontal="left" vertical="center" wrapText="1"/>
    </xf>
    <xf numFmtId="0" fontId="6" fillId="0" borderId="1" xfId="0" applyFont="1" applyBorder="1" applyAlignment="1">
      <alignment horizontal="center" vertical="center"/>
    </xf>
    <xf numFmtId="0" fontId="4" fillId="4" borderId="1" xfId="0" applyFont="1" applyFill="1" applyBorder="1" applyAlignment="1">
      <alignment horizontal="left" vertical="top" wrapText="1"/>
    </xf>
    <xf numFmtId="0" fontId="7" fillId="0" borderId="1" xfId="0" applyFont="1" applyBorder="1" applyAlignment="1">
      <alignment horizontal="center" vertical="center"/>
    </xf>
    <xf numFmtId="0" fontId="4" fillId="5" borderId="1" xfId="0" applyFont="1" applyFill="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center" vertical="center"/>
    </xf>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5"/>
      <rgbColor rgb="FF808080"/>
      <rgbColor rgb="FF9999FF"/>
      <rgbColor rgb="FF993366"/>
      <rgbColor rgb="FFFBF5E6"/>
      <rgbColor rgb="FFE8F0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8F5EF"/>
      <rgbColor rgb="FFCCFFCC"/>
      <rgbColor rgb="FFFFFF99"/>
      <rgbColor rgb="FF99CCFF"/>
      <rgbColor rgb="FFFF99CC"/>
      <rgbColor rgb="FFCC99FF"/>
      <rgbColor rgb="FFFFCC99"/>
      <rgbColor rgb="FF3366FF"/>
      <rgbColor rgb="FF33CCCC"/>
      <rgbColor rgb="FF99CC00"/>
      <rgbColor rgb="FFFFCC00"/>
      <rgbColor rgb="FFFF9900"/>
      <rgbColor rgb="FFFF6600"/>
      <rgbColor rgb="FF58745A"/>
      <rgbColor rgb="FFB88A44"/>
      <rgbColor rgb="FF003366"/>
      <rgbColor rgb="FF339966"/>
      <rgbColor rgb="FF003300"/>
      <rgbColor rgb="FF333300"/>
      <rgbColor rgb="FF993300"/>
      <rgbColor rgb="FF993366"/>
      <rgbColor rgb="FF333399"/>
      <rgbColor rgb="FF1D24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Normal="100" workbookViewId="0"/>
  </sheetViews>
  <sheetFormatPr defaultColWidth="8.7109375" defaultRowHeight="15" x14ac:dyDescent="0.25"/>
  <cols>
    <col min="1" max="1" width="30" customWidth="1"/>
    <col min="2" max="2" width="110" customWidth="1"/>
  </cols>
  <sheetData>
    <row r="1" spans="1:2" ht="27.75" x14ac:dyDescent="0.25">
      <c r="A1" s="2" t="s">
        <v>0</v>
      </c>
    </row>
    <row r="2" spans="1:2" x14ac:dyDescent="0.25">
      <c r="A2" s="3" t="s">
        <v>1</v>
      </c>
    </row>
    <row r="4" spans="1:2" ht="37.5" customHeight="1" x14ac:dyDescent="0.25">
      <c r="A4" s="4" t="s">
        <v>2</v>
      </c>
      <c r="B4" s="5" t="s">
        <v>3</v>
      </c>
    </row>
    <row r="5" spans="1:2" ht="37.5" customHeight="1" x14ac:dyDescent="0.25">
      <c r="A5" s="4" t="s">
        <v>4</v>
      </c>
      <c r="B5" s="5" t="s">
        <v>5</v>
      </c>
    </row>
    <row r="6" spans="1:2" ht="37.5" customHeight="1" x14ac:dyDescent="0.25">
      <c r="A6" s="4" t="s">
        <v>6</v>
      </c>
      <c r="B6" s="5" t="s">
        <v>7</v>
      </c>
    </row>
    <row r="7" spans="1:2" ht="37.5" customHeight="1" x14ac:dyDescent="0.25">
      <c r="A7" s="4" t="s">
        <v>8</v>
      </c>
      <c r="B7" s="5" t="s">
        <v>9</v>
      </c>
    </row>
    <row r="8" spans="1:2" ht="37.5" customHeight="1" x14ac:dyDescent="0.25">
      <c r="A8" s="4" t="s">
        <v>10</v>
      </c>
      <c r="B8" s="5" t="s">
        <v>11</v>
      </c>
    </row>
    <row r="9" spans="1:2" ht="37.5" customHeight="1" x14ac:dyDescent="0.25">
      <c r="A9" s="4" t="s">
        <v>12</v>
      </c>
      <c r="B9" s="5" t="s">
        <v>13</v>
      </c>
    </row>
    <row r="10" spans="1:2" ht="37.5" customHeight="1" x14ac:dyDescent="0.25">
      <c r="A10" s="4" t="s">
        <v>14</v>
      </c>
      <c r="B10" s="5" t="s">
        <v>15</v>
      </c>
    </row>
    <row r="11" spans="1:2" ht="37.5" customHeight="1" x14ac:dyDescent="0.25">
      <c r="A11" s="4" t="s">
        <v>16</v>
      </c>
      <c r="B11" s="5"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6" customWidth="1"/>
    <col min="2" max="2" width="38" customWidth="1"/>
    <col min="3" max="3" width="14" customWidth="1"/>
    <col min="4" max="5" width="18" customWidth="1"/>
    <col min="6" max="6" width="13" customWidth="1"/>
    <col min="7" max="7" width="30" customWidth="1"/>
    <col min="8" max="8" width="12" customWidth="1"/>
    <col min="9" max="9" width="18" customWidth="1"/>
    <col min="10" max="10" width="22" customWidth="1"/>
    <col min="11" max="11" width="35" customWidth="1"/>
    <col min="12" max="13" width="38" customWidth="1"/>
    <col min="14" max="14" width="12" customWidth="1"/>
    <col min="15" max="16" width="18" customWidth="1"/>
  </cols>
  <sheetData>
    <row r="1" spans="1:16" ht="31.5" customHeight="1" x14ac:dyDescent="0.25">
      <c r="A1" s="6" t="s">
        <v>18</v>
      </c>
      <c r="B1" s="6" t="s">
        <v>19</v>
      </c>
      <c r="C1" s="6" t="s">
        <v>20</v>
      </c>
      <c r="D1" s="6" t="s">
        <v>21</v>
      </c>
      <c r="E1" s="6" t="s">
        <v>22</v>
      </c>
      <c r="F1" s="6" t="s">
        <v>23</v>
      </c>
      <c r="G1" s="6" t="s">
        <v>24</v>
      </c>
      <c r="H1" s="6" t="s">
        <v>25</v>
      </c>
      <c r="I1" s="6" t="s">
        <v>26</v>
      </c>
      <c r="J1" s="6" t="s">
        <v>27</v>
      </c>
      <c r="K1" s="6" t="s">
        <v>28</v>
      </c>
      <c r="L1" s="6" t="s">
        <v>29</v>
      </c>
      <c r="M1" s="6" t="s">
        <v>30</v>
      </c>
      <c r="N1" s="6" t="s">
        <v>31</v>
      </c>
      <c r="O1" s="6" t="s">
        <v>32</v>
      </c>
      <c r="P1" s="6" t="s">
        <v>33</v>
      </c>
    </row>
    <row r="2" spans="1:16" ht="69.75" customHeight="1" x14ac:dyDescent="0.25">
      <c r="A2" s="5">
        <v>1</v>
      </c>
      <c r="B2" s="5" t="s">
        <v>34</v>
      </c>
      <c r="C2" s="5" t="s">
        <v>35</v>
      </c>
      <c r="D2" s="5" t="s">
        <v>36</v>
      </c>
      <c r="E2" s="5" t="s">
        <v>37</v>
      </c>
      <c r="F2" s="5" t="s">
        <v>38</v>
      </c>
      <c r="G2" s="5" t="s">
        <v>39</v>
      </c>
      <c r="H2" s="5" t="s">
        <v>40</v>
      </c>
      <c r="I2" s="5" t="s">
        <v>41</v>
      </c>
      <c r="J2" s="5" t="s">
        <v>42</v>
      </c>
      <c r="K2" s="5" t="s">
        <v>43</v>
      </c>
      <c r="L2" s="5" t="s">
        <v>44</v>
      </c>
      <c r="M2" s="5" t="s">
        <v>45</v>
      </c>
      <c r="N2" s="7">
        <v>84</v>
      </c>
      <c r="O2" s="5" t="s">
        <v>46</v>
      </c>
      <c r="P2" s="8" t="s">
        <v>47</v>
      </c>
    </row>
    <row r="3" spans="1:16" ht="69.75" customHeight="1" x14ac:dyDescent="0.25">
      <c r="A3" s="5">
        <v>2</v>
      </c>
      <c r="B3" s="5" t="s">
        <v>48</v>
      </c>
      <c r="C3" s="5" t="s">
        <v>49</v>
      </c>
      <c r="D3" s="5" t="s">
        <v>50</v>
      </c>
      <c r="E3" s="5" t="s">
        <v>51</v>
      </c>
      <c r="F3" s="5" t="s">
        <v>52</v>
      </c>
      <c r="G3" s="5" t="s">
        <v>53</v>
      </c>
      <c r="H3" s="5" t="s">
        <v>40</v>
      </c>
      <c r="I3" s="5" t="s">
        <v>54</v>
      </c>
      <c r="J3" s="5" t="s">
        <v>55</v>
      </c>
      <c r="K3" s="5" t="s">
        <v>56</v>
      </c>
      <c r="L3" s="5" t="s">
        <v>57</v>
      </c>
      <c r="M3" s="5" t="s">
        <v>58</v>
      </c>
      <c r="N3" s="7">
        <v>82</v>
      </c>
      <c r="O3" s="5" t="s">
        <v>46</v>
      </c>
      <c r="P3" s="8" t="s">
        <v>47</v>
      </c>
    </row>
    <row r="4" spans="1:16" ht="69.75" customHeight="1" x14ac:dyDescent="0.25">
      <c r="A4" s="5">
        <v>3</v>
      </c>
      <c r="B4" s="5" t="s">
        <v>59</v>
      </c>
      <c r="C4" s="5" t="s">
        <v>60</v>
      </c>
      <c r="D4" s="5" t="s">
        <v>61</v>
      </c>
      <c r="E4" s="5" t="s">
        <v>37</v>
      </c>
      <c r="F4" s="5" t="s">
        <v>38</v>
      </c>
      <c r="G4" s="5" t="s">
        <v>62</v>
      </c>
      <c r="H4" s="5" t="s">
        <v>63</v>
      </c>
      <c r="I4" s="5" t="s">
        <v>64</v>
      </c>
      <c r="J4" s="5" t="s">
        <v>55</v>
      </c>
      <c r="K4" s="5" t="s">
        <v>65</v>
      </c>
      <c r="L4" s="5" t="s">
        <v>66</v>
      </c>
      <c r="M4" s="5" t="s">
        <v>67</v>
      </c>
      <c r="N4" s="9">
        <v>70</v>
      </c>
      <c r="O4" s="5" t="s">
        <v>68</v>
      </c>
      <c r="P4" s="8" t="s">
        <v>69</v>
      </c>
    </row>
    <row r="5" spans="1:16" ht="69.75" customHeight="1" x14ac:dyDescent="0.25">
      <c r="A5" s="5">
        <v>4</v>
      </c>
      <c r="B5" s="5" t="s">
        <v>70</v>
      </c>
      <c r="C5" s="5" t="s">
        <v>71</v>
      </c>
      <c r="D5" s="5" t="s">
        <v>72</v>
      </c>
      <c r="E5" s="5" t="s">
        <v>37</v>
      </c>
      <c r="F5" s="5" t="s">
        <v>73</v>
      </c>
      <c r="G5" s="5" t="s">
        <v>74</v>
      </c>
      <c r="H5" s="5" t="s">
        <v>63</v>
      </c>
      <c r="I5" s="5" t="s">
        <v>54</v>
      </c>
      <c r="J5" s="5" t="s">
        <v>75</v>
      </c>
      <c r="K5" s="5" t="s">
        <v>76</v>
      </c>
      <c r="L5" s="5" t="s">
        <v>77</v>
      </c>
      <c r="M5" s="5" t="s">
        <v>78</v>
      </c>
      <c r="N5" s="7">
        <v>87</v>
      </c>
      <c r="O5" s="5" t="s">
        <v>79</v>
      </c>
      <c r="P5" s="8" t="s">
        <v>47</v>
      </c>
    </row>
    <row r="6" spans="1:16" ht="69.75" customHeight="1" x14ac:dyDescent="0.25">
      <c r="A6" s="5">
        <v>5</v>
      </c>
      <c r="B6" s="5" t="s">
        <v>80</v>
      </c>
      <c r="C6" s="5" t="s">
        <v>81</v>
      </c>
      <c r="D6" s="5" t="s">
        <v>82</v>
      </c>
      <c r="E6" s="5" t="s">
        <v>37</v>
      </c>
      <c r="F6" s="5" t="s">
        <v>38</v>
      </c>
      <c r="G6" s="5" t="s">
        <v>83</v>
      </c>
      <c r="H6" s="5" t="s">
        <v>63</v>
      </c>
      <c r="I6" s="5" t="s">
        <v>41</v>
      </c>
      <c r="J6" s="5" t="s">
        <v>84</v>
      </c>
      <c r="K6" s="5" t="s">
        <v>85</v>
      </c>
      <c r="L6" s="5" t="s">
        <v>86</v>
      </c>
      <c r="M6" s="5" t="s">
        <v>87</v>
      </c>
      <c r="N6" s="7">
        <v>83</v>
      </c>
      <c r="O6" s="5" t="s">
        <v>46</v>
      </c>
      <c r="P6" s="8" t="s">
        <v>47</v>
      </c>
    </row>
    <row r="7" spans="1:16" ht="69.75" customHeight="1" x14ac:dyDescent="0.25">
      <c r="A7" s="5">
        <v>6</v>
      </c>
      <c r="B7" s="5" t="s">
        <v>88</v>
      </c>
      <c r="C7" s="5" t="s">
        <v>89</v>
      </c>
      <c r="D7" s="5" t="s">
        <v>82</v>
      </c>
      <c r="E7" s="5" t="s">
        <v>37</v>
      </c>
      <c r="F7" s="5" t="s">
        <v>38</v>
      </c>
      <c r="G7" s="5" t="s">
        <v>90</v>
      </c>
      <c r="H7" s="5" t="s">
        <v>91</v>
      </c>
      <c r="I7" s="5" t="s">
        <v>92</v>
      </c>
      <c r="J7" s="5" t="s">
        <v>93</v>
      </c>
      <c r="K7" s="5" t="s">
        <v>94</v>
      </c>
      <c r="L7" s="5" t="s">
        <v>95</v>
      </c>
      <c r="M7" s="5" t="s">
        <v>96</v>
      </c>
      <c r="N7" s="7">
        <v>85</v>
      </c>
      <c r="O7" s="5" t="s">
        <v>79</v>
      </c>
      <c r="P7" s="8" t="s">
        <v>47</v>
      </c>
    </row>
    <row r="8" spans="1:16" ht="69.75" customHeight="1" x14ac:dyDescent="0.25">
      <c r="A8" s="5">
        <v>7</v>
      </c>
      <c r="B8" s="5" t="s">
        <v>97</v>
      </c>
      <c r="C8" s="5" t="s">
        <v>98</v>
      </c>
      <c r="D8" s="5" t="s">
        <v>82</v>
      </c>
      <c r="E8" s="5" t="s">
        <v>37</v>
      </c>
      <c r="F8" s="5" t="s">
        <v>38</v>
      </c>
      <c r="G8" s="5" t="s">
        <v>99</v>
      </c>
      <c r="H8" s="5" t="s">
        <v>91</v>
      </c>
      <c r="I8" s="5" t="s">
        <v>100</v>
      </c>
      <c r="J8" s="5" t="s">
        <v>84</v>
      </c>
      <c r="K8" s="5" t="s">
        <v>101</v>
      </c>
      <c r="L8" s="5" t="s">
        <v>102</v>
      </c>
      <c r="M8" s="5" t="s">
        <v>103</v>
      </c>
      <c r="N8" s="7">
        <v>80</v>
      </c>
      <c r="O8" s="5" t="s">
        <v>46</v>
      </c>
      <c r="P8" s="8" t="s">
        <v>47</v>
      </c>
    </row>
    <row r="9" spans="1:16" ht="69.75" customHeight="1" x14ac:dyDescent="0.25">
      <c r="A9" s="5">
        <v>8</v>
      </c>
      <c r="B9" s="5" t="s">
        <v>104</v>
      </c>
      <c r="C9" s="5" t="s">
        <v>105</v>
      </c>
      <c r="D9" s="5" t="s">
        <v>106</v>
      </c>
      <c r="E9" s="5" t="s">
        <v>37</v>
      </c>
      <c r="F9" s="5" t="s">
        <v>38</v>
      </c>
      <c r="G9" s="5" t="s">
        <v>107</v>
      </c>
      <c r="H9" s="5" t="s">
        <v>40</v>
      </c>
      <c r="I9" s="5" t="s">
        <v>108</v>
      </c>
      <c r="J9" s="5" t="s">
        <v>109</v>
      </c>
      <c r="K9" s="5" t="s">
        <v>110</v>
      </c>
      <c r="L9" s="5" t="s">
        <v>111</v>
      </c>
      <c r="M9" s="5" t="s">
        <v>112</v>
      </c>
      <c r="N9" s="7">
        <v>76</v>
      </c>
      <c r="O9" s="5" t="s">
        <v>46</v>
      </c>
      <c r="P9" s="8" t="s">
        <v>47</v>
      </c>
    </row>
    <row r="10" spans="1:16" ht="69.75" customHeight="1" x14ac:dyDescent="0.25">
      <c r="A10" s="5">
        <v>9</v>
      </c>
      <c r="B10" s="5" t="s">
        <v>113</v>
      </c>
      <c r="C10" s="5" t="s">
        <v>114</v>
      </c>
      <c r="D10" s="5" t="s">
        <v>106</v>
      </c>
      <c r="E10" s="5" t="s">
        <v>37</v>
      </c>
      <c r="F10" s="5" t="s">
        <v>38</v>
      </c>
      <c r="G10" s="5" t="s">
        <v>90</v>
      </c>
      <c r="H10" s="5" t="s">
        <v>63</v>
      </c>
      <c r="I10" s="5" t="s">
        <v>115</v>
      </c>
      <c r="J10" s="5" t="s">
        <v>55</v>
      </c>
      <c r="K10" s="5" t="s">
        <v>116</v>
      </c>
      <c r="L10" s="5" t="s">
        <v>117</v>
      </c>
      <c r="M10" s="5" t="s">
        <v>118</v>
      </c>
      <c r="N10" s="7">
        <v>79</v>
      </c>
      <c r="O10" s="5" t="s">
        <v>46</v>
      </c>
      <c r="P10" s="8" t="s">
        <v>47</v>
      </c>
    </row>
    <row r="11" spans="1:16" ht="69.75" customHeight="1" x14ac:dyDescent="0.25">
      <c r="A11" s="5">
        <v>10</v>
      </c>
      <c r="B11" s="5" t="s">
        <v>119</v>
      </c>
      <c r="C11" s="5" t="s">
        <v>120</v>
      </c>
      <c r="D11" s="5" t="s">
        <v>121</v>
      </c>
      <c r="E11" s="5" t="s">
        <v>122</v>
      </c>
      <c r="F11" s="5" t="s">
        <v>52</v>
      </c>
      <c r="G11" s="5" t="s">
        <v>123</v>
      </c>
      <c r="H11" s="5" t="s">
        <v>63</v>
      </c>
      <c r="I11" s="5" t="s">
        <v>124</v>
      </c>
      <c r="J11" s="5" t="s">
        <v>125</v>
      </c>
      <c r="K11" s="5" t="s">
        <v>126</v>
      </c>
      <c r="L11" s="5" t="s">
        <v>127</v>
      </c>
      <c r="M11" s="5" t="s">
        <v>128</v>
      </c>
      <c r="N11" s="7">
        <v>82</v>
      </c>
      <c r="O11" s="5" t="s">
        <v>46</v>
      </c>
      <c r="P11" s="8" t="s">
        <v>47</v>
      </c>
    </row>
    <row r="12" spans="1:16" ht="69.75" customHeight="1" x14ac:dyDescent="0.25">
      <c r="A12" s="5">
        <v>11</v>
      </c>
      <c r="B12" s="5" t="s">
        <v>129</v>
      </c>
      <c r="C12" s="5" t="s">
        <v>130</v>
      </c>
      <c r="D12" s="5" t="s">
        <v>131</v>
      </c>
      <c r="E12" s="5" t="s">
        <v>132</v>
      </c>
      <c r="F12" s="5" t="s">
        <v>52</v>
      </c>
      <c r="G12" s="5" t="s">
        <v>133</v>
      </c>
      <c r="H12" s="5" t="s">
        <v>63</v>
      </c>
      <c r="I12" s="5" t="s">
        <v>134</v>
      </c>
      <c r="J12" s="5" t="s">
        <v>135</v>
      </c>
      <c r="K12" s="5" t="s">
        <v>136</v>
      </c>
      <c r="L12" s="5" t="s">
        <v>137</v>
      </c>
      <c r="M12" s="5" t="s">
        <v>138</v>
      </c>
      <c r="N12" s="7">
        <v>86</v>
      </c>
      <c r="O12" s="5" t="s">
        <v>79</v>
      </c>
      <c r="P12" s="8" t="s">
        <v>47</v>
      </c>
    </row>
    <row r="13" spans="1:16" ht="69.75" customHeight="1" x14ac:dyDescent="0.25">
      <c r="A13" s="5">
        <v>12</v>
      </c>
      <c r="B13" s="5" t="s">
        <v>139</v>
      </c>
      <c r="C13" s="5" t="s">
        <v>140</v>
      </c>
      <c r="D13" s="5" t="s">
        <v>82</v>
      </c>
      <c r="E13" s="5" t="s">
        <v>37</v>
      </c>
      <c r="F13" s="5" t="s">
        <v>52</v>
      </c>
      <c r="G13" s="5" t="s">
        <v>141</v>
      </c>
      <c r="H13" s="5" t="s">
        <v>63</v>
      </c>
      <c r="I13" s="5" t="s">
        <v>92</v>
      </c>
      <c r="J13" s="5" t="s">
        <v>142</v>
      </c>
      <c r="K13" s="5" t="s">
        <v>143</v>
      </c>
      <c r="L13" s="5" t="s">
        <v>144</v>
      </c>
      <c r="M13" s="5" t="s">
        <v>145</v>
      </c>
      <c r="N13" s="7">
        <v>81</v>
      </c>
      <c r="O13" s="5" t="s">
        <v>46</v>
      </c>
      <c r="P13" s="8" t="s">
        <v>47</v>
      </c>
    </row>
    <row r="14" spans="1:16" ht="69.75" customHeight="1" x14ac:dyDescent="0.25">
      <c r="A14" s="5">
        <v>13</v>
      </c>
      <c r="B14" s="5" t="s">
        <v>146</v>
      </c>
      <c r="C14" s="5" t="s">
        <v>147</v>
      </c>
      <c r="D14" s="5" t="s">
        <v>148</v>
      </c>
      <c r="E14" s="5" t="s">
        <v>37</v>
      </c>
      <c r="F14" s="5" t="s">
        <v>52</v>
      </c>
      <c r="G14" s="5" t="s">
        <v>149</v>
      </c>
      <c r="H14" s="5" t="s">
        <v>63</v>
      </c>
      <c r="I14" s="5" t="s">
        <v>115</v>
      </c>
      <c r="J14" s="5" t="s">
        <v>150</v>
      </c>
      <c r="K14" s="5" t="s">
        <v>151</v>
      </c>
      <c r="L14" s="5" t="s">
        <v>152</v>
      </c>
      <c r="M14" s="5" t="s">
        <v>153</v>
      </c>
      <c r="N14" s="7">
        <v>84</v>
      </c>
      <c r="O14" s="5" t="s">
        <v>46</v>
      </c>
      <c r="P14" s="8" t="s">
        <v>47</v>
      </c>
    </row>
    <row r="15" spans="1:16" ht="69.75" customHeight="1" x14ac:dyDescent="0.25">
      <c r="A15" s="5">
        <v>14</v>
      </c>
      <c r="B15" s="5" t="s">
        <v>154</v>
      </c>
      <c r="C15" s="5" t="s">
        <v>155</v>
      </c>
      <c r="D15" s="5" t="s">
        <v>156</v>
      </c>
      <c r="E15" s="5" t="s">
        <v>157</v>
      </c>
      <c r="F15" s="5" t="s">
        <v>73</v>
      </c>
      <c r="G15" s="5" t="s">
        <v>158</v>
      </c>
      <c r="H15" s="5" t="s">
        <v>63</v>
      </c>
      <c r="I15" s="5" t="s">
        <v>159</v>
      </c>
      <c r="J15" s="5" t="s">
        <v>160</v>
      </c>
      <c r="K15" s="5" t="s">
        <v>161</v>
      </c>
      <c r="L15" s="5" t="s">
        <v>162</v>
      </c>
      <c r="M15" s="5" t="s">
        <v>163</v>
      </c>
      <c r="N15" s="7">
        <v>88</v>
      </c>
      <c r="O15" s="5" t="s">
        <v>79</v>
      </c>
      <c r="P15" s="8" t="s">
        <v>47</v>
      </c>
    </row>
    <row r="16" spans="1:16" ht="69.75" customHeight="1" x14ac:dyDescent="0.25">
      <c r="A16" s="5">
        <v>15</v>
      </c>
      <c r="B16" s="5" t="s">
        <v>164</v>
      </c>
      <c r="C16" s="5" t="s">
        <v>165</v>
      </c>
      <c r="D16" s="5" t="s">
        <v>166</v>
      </c>
      <c r="E16" s="5" t="s">
        <v>157</v>
      </c>
      <c r="F16" s="5" t="s">
        <v>52</v>
      </c>
      <c r="G16" s="5" t="s">
        <v>167</v>
      </c>
      <c r="H16" s="5" t="s">
        <v>63</v>
      </c>
      <c r="I16" s="5" t="s">
        <v>168</v>
      </c>
      <c r="J16" s="5" t="s">
        <v>150</v>
      </c>
      <c r="K16" s="5" t="s">
        <v>169</v>
      </c>
      <c r="L16" s="5" t="s">
        <v>170</v>
      </c>
      <c r="M16" s="5" t="s">
        <v>171</v>
      </c>
      <c r="N16" s="7">
        <v>83</v>
      </c>
      <c r="O16" s="5" t="s">
        <v>46</v>
      </c>
      <c r="P16" s="8" t="s">
        <v>47</v>
      </c>
    </row>
    <row r="17" spans="1:16" ht="69.75" customHeight="1" x14ac:dyDescent="0.25">
      <c r="A17" s="5">
        <v>16</v>
      </c>
      <c r="B17" s="5" t="s">
        <v>172</v>
      </c>
      <c r="C17" s="5" t="s">
        <v>173</v>
      </c>
      <c r="D17" s="5" t="s">
        <v>174</v>
      </c>
      <c r="E17" s="5" t="s">
        <v>175</v>
      </c>
      <c r="F17" s="5" t="s">
        <v>52</v>
      </c>
      <c r="G17" s="5" t="s">
        <v>176</v>
      </c>
      <c r="H17" s="5" t="s">
        <v>63</v>
      </c>
      <c r="I17" s="5" t="s">
        <v>177</v>
      </c>
      <c r="J17" s="5" t="s">
        <v>55</v>
      </c>
      <c r="K17" s="5" t="s">
        <v>178</v>
      </c>
      <c r="L17" s="5" t="s">
        <v>179</v>
      </c>
      <c r="M17" s="5" t="s">
        <v>180</v>
      </c>
      <c r="N17" s="7">
        <v>82</v>
      </c>
      <c r="O17" s="5" t="s">
        <v>46</v>
      </c>
      <c r="P17" s="8" t="s">
        <v>47</v>
      </c>
    </row>
    <row r="18" spans="1:16" ht="69.75" customHeight="1" x14ac:dyDescent="0.25">
      <c r="A18" s="5">
        <v>17</v>
      </c>
      <c r="B18" s="5" t="s">
        <v>181</v>
      </c>
      <c r="C18" s="5" t="s">
        <v>182</v>
      </c>
      <c r="D18" s="5" t="s">
        <v>183</v>
      </c>
      <c r="E18" s="5" t="s">
        <v>184</v>
      </c>
      <c r="F18" s="5" t="s">
        <v>73</v>
      </c>
      <c r="G18" s="5" t="s">
        <v>185</v>
      </c>
      <c r="H18" s="5" t="s">
        <v>63</v>
      </c>
      <c r="I18" s="5" t="s">
        <v>108</v>
      </c>
      <c r="J18" s="5" t="s">
        <v>186</v>
      </c>
      <c r="K18" s="5" t="s">
        <v>187</v>
      </c>
      <c r="L18" s="5" t="s">
        <v>188</v>
      </c>
      <c r="M18" s="5" t="s">
        <v>189</v>
      </c>
      <c r="N18" s="7">
        <v>81</v>
      </c>
      <c r="O18" s="5" t="s">
        <v>46</v>
      </c>
      <c r="P18" s="8" t="s">
        <v>47</v>
      </c>
    </row>
    <row r="19" spans="1:16" ht="69.75" customHeight="1" x14ac:dyDescent="0.25">
      <c r="A19" s="5">
        <v>18</v>
      </c>
      <c r="B19" s="5" t="s">
        <v>190</v>
      </c>
      <c r="C19" s="5" t="s">
        <v>191</v>
      </c>
      <c r="D19" s="5" t="s">
        <v>192</v>
      </c>
      <c r="E19" s="5" t="s">
        <v>37</v>
      </c>
      <c r="F19" s="5" t="s">
        <v>52</v>
      </c>
      <c r="G19" s="5" t="s">
        <v>167</v>
      </c>
      <c r="H19" s="5" t="s">
        <v>63</v>
      </c>
      <c r="I19" s="5" t="s">
        <v>100</v>
      </c>
      <c r="J19" s="5" t="s">
        <v>193</v>
      </c>
      <c r="K19" s="5" t="s">
        <v>194</v>
      </c>
      <c r="L19" s="5" t="s">
        <v>195</v>
      </c>
      <c r="M19" s="5" t="s">
        <v>196</v>
      </c>
      <c r="N19" s="7">
        <v>79</v>
      </c>
      <c r="O19" s="5" t="s">
        <v>46</v>
      </c>
      <c r="P19" s="8" t="s">
        <v>47</v>
      </c>
    </row>
    <row r="20" spans="1:16" ht="69.75" customHeight="1" x14ac:dyDescent="0.25">
      <c r="A20" s="5">
        <v>19</v>
      </c>
      <c r="B20" s="5" t="s">
        <v>197</v>
      </c>
      <c r="C20" s="5" t="s">
        <v>198</v>
      </c>
      <c r="D20" s="5" t="s">
        <v>199</v>
      </c>
      <c r="E20" s="5" t="s">
        <v>200</v>
      </c>
      <c r="F20" s="5" t="s">
        <v>52</v>
      </c>
      <c r="G20" s="5" t="s">
        <v>141</v>
      </c>
      <c r="H20" s="5" t="s">
        <v>63</v>
      </c>
      <c r="I20" s="5" t="s">
        <v>201</v>
      </c>
      <c r="J20" s="5" t="s">
        <v>202</v>
      </c>
      <c r="K20" s="5" t="s">
        <v>203</v>
      </c>
      <c r="L20" s="5" t="s">
        <v>204</v>
      </c>
      <c r="M20" s="5" t="s">
        <v>205</v>
      </c>
      <c r="N20" s="7">
        <v>78</v>
      </c>
      <c r="O20" s="5" t="s">
        <v>46</v>
      </c>
      <c r="P20" s="8" t="s">
        <v>47</v>
      </c>
    </row>
    <row r="21" spans="1:16" ht="69.75" customHeight="1" x14ac:dyDescent="0.25">
      <c r="A21" s="5">
        <v>20</v>
      </c>
      <c r="B21" s="5" t="s">
        <v>206</v>
      </c>
      <c r="C21" s="5" t="s">
        <v>207</v>
      </c>
      <c r="D21" s="5" t="s">
        <v>208</v>
      </c>
      <c r="E21" s="5" t="s">
        <v>209</v>
      </c>
      <c r="F21" s="5" t="s">
        <v>52</v>
      </c>
      <c r="G21" s="5" t="s">
        <v>210</v>
      </c>
      <c r="H21" s="5" t="s">
        <v>63</v>
      </c>
      <c r="I21" s="5" t="s">
        <v>115</v>
      </c>
      <c r="J21" s="5" t="s">
        <v>211</v>
      </c>
      <c r="K21" s="5" t="s">
        <v>212</v>
      </c>
      <c r="L21" s="5" t="s">
        <v>213</v>
      </c>
      <c r="M21" s="5" t="s">
        <v>214</v>
      </c>
      <c r="N21" s="7">
        <v>78</v>
      </c>
      <c r="O21" s="5" t="s">
        <v>46</v>
      </c>
      <c r="P21" s="8" t="s">
        <v>47</v>
      </c>
    </row>
    <row r="22" spans="1:16" ht="69.75" customHeight="1" x14ac:dyDescent="0.25">
      <c r="A22" s="5">
        <v>21</v>
      </c>
      <c r="B22" s="5" t="s">
        <v>215</v>
      </c>
      <c r="C22" s="5" t="s">
        <v>216</v>
      </c>
      <c r="D22" s="5" t="s">
        <v>82</v>
      </c>
      <c r="E22" s="5" t="s">
        <v>37</v>
      </c>
      <c r="F22" s="5" t="s">
        <v>38</v>
      </c>
      <c r="G22" s="5" t="s">
        <v>107</v>
      </c>
      <c r="H22" s="5" t="s">
        <v>40</v>
      </c>
      <c r="I22" s="5" t="s">
        <v>124</v>
      </c>
      <c r="J22" s="5" t="s">
        <v>217</v>
      </c>
      <c r="K22" s="5" t="s">
        <v>218</v>
      </c>
      <c r="L22" s="5" t="s">
        <v>219</v>
      </c>
      <c r="M22" s="5" t="s">
        <v>220</v>
      </c>
      <c r="N22" s="9">
        <v>69</v>
      </c>
      <c r="O22" s="5" t="s">
        <v>221</v>
      </c>
      <c r="P22" s="10" t="s">
        <v>222</v>
      </c>
    </row>
    <row r="23" spans="1:16" ht="69.75" customHeight="1" x14ac:dyDescent="0.25">
      <c r="A23" s="5">
        <v>22</v>
      </c>
      <c r="B23" s="5" t="s">
        <v>223</v>
      </c>
      <c r="C23" s="5" t="s">
        <v>224</v>
      </c>
      <c r="D23" s="5" t="s">
        <v>225</v>
      </c>
      <c r="E23" s="5" t="s">
        <v>209</v>
      </c>
      <c r="F23" s="5" t="s">
        <v>38</v>
      </c>
      <c r="G23" s="5" t="s">
        <v>107</v>
      </c>
      <c r="H23" s="5" t="s">
        <v>40</v>
      </c>
      <c r="I23" s="5" t="s">
        <v>92</v>
      </c>
      <c r="J23" s="5" t="s">
        <v>226</v>
      </c>
      <c r="K23" s="5" t="s">
        <v>227</v>
      </c>
      <c r="L23" s="5" t="s">
        <v>228</v>
      </c>
      <c r="M23" s="5" t="s">
        <v>229</v>
      </c>
      <c r="N23" s="9">
        <v>66</v>
      </c>
      <c r="O23" s="5" t="s">
        <v>221</v>
      </c>
      <c r="P23" s="10" t="s">
        <v>222</v>
      </c>
    </row>
    <row r="24" spans="1:16" ht="69.75" customHeight="1" x14ac:dyDescent="0.25">
      <c r="A24" s="5">
        <v>23</v>
      </c>
      <c r="B24" s="5" t="s">
        <v>230</v>
      </c>
      <c r="C24" s="5" t="s">
        <v>231</v>
      </c>
      <c r="D24" s="5" t="s">
        <v>232</v>
      </c>
      <c r="E24" s="5" t="s">
        <v>233</v>
      </c>
      <c r="F24" s="5" t="s">
        <v>52</v>
      </c>
      <c r="G24" s="5" t="s">
        <v>234</v>
      </c>
      <c r="H24" s="5" t="s">
        <v>63</v>
      </c>
      <c r="I24" s="5" t="s">
        <v>235</v>
      </c>
      <c r="J24" s="5" t="s">
        <v>236</v>
      </c>
      <c r="K24" s="5" t="s">
        <v>237</v>
      </c>
      <c r="L24" s="5" t="s">
        <v>238</v>
      </c>
      <c r="M24" s="5" t="s">
        <v>239</v>
      </c>
      <c r="N24" s="9">
        <v>70</v>
      </c>
      <c r="O24" s="5" t="s">
        <v>240</v>
      </c>
      <c r="P24" s="10" t="s">
        <v>222</v>
      </c>
    </row>
    <row r="25" spans="1:16" ht="69.75" customHeight="1" x14ac:dyDescent="0.25">
      <c r="A25" s="5">
        <v>24</v>
      </c>
      <c r="B25" s="5" t="s">
        <v>241</v>
      </c>
      <c r="C25" s="5" t="s">
        <v>242</v>
      </c>
      <c r="D25" s="5" t="s">
        <v>243</v>
      </c>
      <c r="E25" s="5" t="s">
        <v>244</v>
      </c>
      <c r="F25" s="5" t="s">
        <v>52</v>
      </c>
      <c r="G25" s="5" t="s">
        <v>245</v>
      </c>
      <c r="H25" s="5" t="s">
        <v>63</v>
      </c>
      <c r="I25" s="5" t="s">
        <v>246</v>
      </c>
      <c r="J25" s="5" t="s">
        <v>247</v>
      </c>
      <c r="K25" s="5" t="s">
        <v>248</v>
      </c>
      <c r="L25" s="5" t="s">
        <v>249</v>
      </c>
      <c r="M25" s="5" t="s">
        <v>250</v>
      </c>
      <c r="N25" s="9">
        <v>72</v>
      </c>
      <c r="O25" s="5" t="s">
        <v>221</v>
      </c>
      <c r="P25" s="10" t="s">
        <v>222</v>
      </c>
    </row>
    <row r="26" spans="1:16" ht="69.75" customHeight="1" x14ac:dyDescent="0.25">
      <c r="A26" s="5">
        <v>25</v>
      </c>
      <c r="B26" s="5" t="s">
        <v>251</v>
      </c>
      <c r="C26" s="5" t="s">
        <v>252</v>
      </c>
      <c r="D26" s="5" t="s">
        <v>253</v>
      </c>
      <c r="E26" s="5" t="s">
        <v>132</v>
      </c>
      <c r="F26" s="5" t="s">
        <v>52</v>
      </c>
      <c r="G26" s="5" t="s">
        <v>133</v>
      </c>
      <c r="H26" s="5" t="s">
        <v>63</v>
      </c>
      <c r="I26" s="5" t="s">
        <v>168</v>
      </c>
      <c r="J26" s="5" t="s">
        <v>254</v>
      </c>
      <c r="K26" s="5" t="s">
        <v>255</v>
      </c>
      <c r="L26" s="5" t="s">
        <v>256</v>
      </c>
      <c r="M26" s="5" t="s">
        <v>257</v>
      </c>
      <c r="N26" s="9">
        <v>73</v>
      </c>
      <c r="O26" s="5" t="s">
        <v>221</v>
      </c>
      <c r="P26" s="10" t="s">
        <v>222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6" customWidth="1"/>
    <col min="2" max="2" width="38" customWidth="1"/>
    <col min="3" max="7" width="14" customWidth="1"/>
    <col min="8" max="9" width="16" customWidth="1"/>
    <col min="10" max="10" width="14" customWidth="1"/>
  </cols>
  <sheetData>
    <row r="1" spans="1:10" ht="31.5" customHeight="1" x14ac:dyDescent="0.25">
      <c r="A1" s="6" t="s">
        <v>18</v>
      </c>
      <c r="B1" s="6" t="s">
        <v>19</v>
      </c>
      <c r="C1" s="6" t="s">
        <v>258</v>
      </c>
      <c r="D1" s="6" t="s">
        <v>259</v>
      </c>
      <c r="E1" s="6" t="s">
        <v>260</v>
      </c>
      <c r="F1" s="6" t="s">
        <v>261</v>
      </c>
      <c r="G1" s="6" t="s">
        <v>262</v>
      </c>
      <c r="H1" s="6" t="s">
        <v>263</v>
      </c>
      <c r="I1" s="6" t="s">
        <v>264</v>
      </c>
      <c r="J1" s="6" t="s">
        <v>265</v>
      </c>
    </row>
    <row r="2" spans="1:10" x14ac:dyDescent="0.25">
      <c r="A2" s="11">
        <v>1</v>
      </c>
      <c r="B2" s="11" t="s">
        <v>34</v>
      </c>
      <c r="C2" s="12">
        <v>24</v>
      </c>
      <c r="D2" s="12">
        <v>14</v>
      </c>
      <c r="E2" s="12">
        <v>13</v>
      </c>
      <c r="F2" s="12">
        <v>14</v>
      </c>
      <c r="G2" s="12">
        <v>14</v>
      </c>
      <c r="H2" s="12">
        <v>6</v>
      </c>
      <c r="I2" s="7">
        <f t="shared" ref="I2:I26" si="0">SUM(C2:H2)</f>
        <v>85</v>
      </c>
      <c r="J2" s="9">
        <v>84</v>
      </c>
    </row>
    <row r="3" spans="1:10" x14ac:dyDescent="0.25">
      <c r="A3" s="11">
        <v>2</v>
      </c>
      <c r="B3" s="11" t="s">
        <v>48</v>
      </c>
      <c r="C3" s="12">
        <v>21</v>
      </c>
      <c r="D3" s="12">
        <v>16</v>
      </c>
      <c r="E3" s="12">
        <v>14</v>
      </c>
      <c r="F3" s="12">
        <v>12</v>
      </c>
      <c r="G3" s="12">
        <v>13</v>
      </c>
      <c r="H3" s="12">
        <v>7</v>
      </c>
      <c r="I3" s="7">
        <f t="shared" si="0"/>
        <v>83</v>
      </c>
      <c r="J3" s="9">
        <v>82</v>
      </c>
    </row>
    <row r="4" spans="1:10" x14ac:dyDescent="0.25">
      <c r="A4" s="11">
        <v>3</v>
      </c>
      <c r="B4" s="11" t="s">
        <v>59</v>
      </c>
      <c r="C4" s="12">
        <v>24</v>
      </c>
      <c r="D4" s="12">
        <v>16</v>
      </c>
      <c r="E4" s="12">
        <v>13</v>
      </c>
      <c r="F4" s="12">
        <v>9</v>
      </c>
      <c r="G4" s="12">
        <v>13</v>
      </c>
      <c r="H4" s="12">
        <v>3</v>
      </c>
      <c r="I4" s="7">
        <f t="shared" si="0"/>
        <v>78</v>
      </c>
      <c r="J4" s="9">
        <v>70</v>
      </c>
    </row>
    <row r="5" spans="1:10" x14ac:dyDescent="0.25">
      <c r="A5" s="11">
        <v>4</v>
      </c>
      <c r="B5" s="11" t="s">
        <v>70</v>
      </c>
      <c r="C5" s="12">
        <v>22</v>
      </c>
      <c r="D5" s="12">
        <v>19</v>
      </c>
      <c r="E5" s="12">
        <v>14</v>
      </c>
      <c r="F5" s="12">
        <v>14</v>
      </c>
      <c r="G5" s="12">
        <v>14</v>
      </c>
      <c r="H5" s="12">
        <v>7</v>
      </c>
      <c r="I5" s="7">
        <f t="shared" si="0"/>
        <v>90</v>
      </c>
      <c r="J5" s="9">
        <v>87</v>
      </c>
    </row>
    <row r="6" spans="1:10" x14ac:dyDescent="0.25">
      <c r="A6" s="11">
        <v>5</v>
      </c>
      <c r="B6" s="11" t="s">
        <v>80</v>
      </c>
      <c r="C6" s="12">
        <v>22</v>
      </c>
      <c r="D6" s="12">
        <v>17</v>
      </c>
      <c r="E6" s="12">
        <v>13</v>
      </c>
      <c r="F6" s="12">
        <v>12</v>
      </c>
      <c r="G6" s="12">
        <v>14</v>
      </c>
      <c r="H6" s="12">
        <v>6</v>
      </c>
      <c r="I6" s="7">
        <f t="shared" si="0"/>
        <v>84</v>
      </c>
      <c r="J6" s="9">
        <v>83</v>
      </c>
    </row>
    <row r="7" spans="1:10" x14ac:dyDescent="0.25">
      <c r="A7" s="11">
        <v>6</v>
      </c>
      <c r="B7" s="11" t="s">
        <v>88</v>
      </c>
      <c r="C7" s="12">
        <v>24</v>
      </c>
      <c r="D7" s="12">
        <v>17</v>
      </c>
      <c r="E7" s="12">
        <v>13</v>
      </c>
      <c r="F7" s="12">
        <v>13</v>
      </c>
      <c r="G7" s="12">
        <v>15</v>
      </c>
      <c r="H7" s="12">
        <v>7</v>
      </c>
      <c r="I7" s="7">
        <f t="shared" si="0"/>
        <v>89</v>
      </c>
      <c r="J7" s="9">
        <v>85</v>
      </c>
    </row>
    <row r="8" spans="1:10" x14ac:dyDescent="0.25">
      <c r="A8" s="11">
        <v>7</v>
      </c>
      <c r="B8" s="11" t="s">
        <v>97</v>
      </c>
      <c r="C8" s="12">
        <v>24</v>
      </c>
      <c r="D8" s="12">
        <v>16</v>
      </c>
      <c r="E8" s="12">
        <v>13</v>
      </c>
      <c r="F8" s="12">
        <v>12</v>
      </c>
      <c r="G8" s="12">
        <v>13</v>
      </c>
      <c r="H8" s="12">
        <v>6</v>
      </c>
      <c r="I8" s="7">
        <f t="shared" si="0"/>
        <v>84</v>
      </c>
      <c r="J8" s="9">
        <v>80</v>
      </c>
    </row>
    <row r="9" spans="1:10" x14ac:dyDescent="0.25">
      <c r="A9" s="11">
        <v>8</v>
      </c>
      <c r="B9" s="11" t="s">
        <v>104</v>
      </c>
      <c r="C9" s="12">
        <v>21</v>
      </c>
      <c r="D9" s="12">
        <v>13</v>
      </c>
      <c r="E9" s="12">
        <v>13</v>
      </c>
      <c r="F9" s="12">
        <v>13</v>
      </c>
      <c r="G9" s="12">
        <v>12</v>
      </c>
      <c r="H9" s="12">
        <v>6</v>
      </c>
      <c r="I9" s="7">
        <f t="shared" si="0"/>
        <v>78</v>
      </c>
      <c r="J9" s="9">
        <v>76</v>
      </c>
    </row>
    <row r="10" spans="1:10" x14ac:dyDescent="0.25">
      <c r="A10" s="11">
        <v>9</v>
      </c>
      <c r="B10" s="11" t="s">
        <v>113</v>
      </c>
      <c r="C10" s="12">
        <v>22</v>
      </c>
      <c r="D10" s="12">
        <v>14</v>
      </c>
      <c r="E10" s="12">
        <v>13</v>
      </c>
      <c r="F10" s="12">
        <v>13</v>
      </c>
      <c r="G10" s="12">
        <v>13</v>
      </c>
      <c r="H10" s="12">
        <v>6</v>
      </c>
      <c r="I10" s="7">
        <f t="shared" si="0"/>
        <v>81</v>
      </c>
      <c r="J10" s="9">
        <v>79</v>
      </c>
    </row>
    <row r="11" spans="1:10" x14ac:dyDescent="0.25">
      <c r="A11" s="11">
        <v>10</v>
      </c>
      <c r="B11" s="11" t="s">
        <v>119</v>
      </c>
      <c r="C11" s="12">
        <v>20</v>
      </c>
      <c r="D11" s="12">
        <v>16</v>
      </c>
      <c r="E11" s="12">
        <v>12</v>
      </c>
      <c r="F11" s="12">
        <v>14</v>
      </c>
      <c r="G11" s="12">
        <v>14</v>
      </c>
      <c r="H11" s="12">
        <v>6</v>
      </c>
      <c r="I11" s="7">
        <f t="shared" si="0"/>
        <v>82</v>
      </c>
      <c r="J11" s="9">
        <v>82</v>
      </c>
    </row>
    <row r="12" spans="1:10" x14ac:dyDescent="0.25">
      <c r="A12" s="11">
        <v>11</v>
      </c>
      <c r="B12" s="11" t="s">
        <v>129</v>
      </c>
      <c r="C12" s="12">
        <v>22</v>
      </c>
      <c r="D12" s="12">
        <v>17</v>
      </c>
      <c r="E12" s="12">
        <v>15</v>
      </c>
      <c r="F12" s="12">
        <v>13</v>
      </c>
      <c r="G12" s="12">
        <v>13</v>
      </c>
      <c r="H12" s="12">
        <v>7</v>
      </c>
      <c r="I12" s="7">
        <f t="shared" si="0"/>
        <v>87</v>
      </c>
      <c r="J12" s="9">
        <v>86</v>
      </c>
    </row>
    <row r="13" spans="1:10" x14ac:dyDescent="0.25">
      <c r="A13" s="11">
        <v>12</v>
      </c>
      <c r="B13" s="11" t="s">
        <v>139</v>
      </c>
      <c r="C13" s="12">
        <v>20</v>
      </c>
      <c r="D13" s="12">
        <v>16</v>
      </c>
      <c r="E13" s="12">
        <v>13</v>
      </c>
      <c r="F13" s="12">
        <v>13</v>
      </c>
      <c r="G13" s="12">
        <v>14</v>
      </c>
      <c r="H13" s="12">
        <v>6</v>
      </c>
      <c r="I13" s="7">
        <f t="shared" si="0"/>
        <v>82</v>
      </c>
      <c r="J13" s="9">
        <v>81</v>
      </c>
    </row>
    <row r="14" spans="1:10" x14ac:dyDescent="0.25">
      <c r="A14" s="11">
        <v>13</v>
      </c>
      <c r="B14" s="11" t="s">
        <v>146</v>
      </c>
      <c r="C14" s="12">
        <v>20</v>
      </c>
      <c r="D14" s="12">
        <v>18</v>
      </c>
      <c r="E14" s="12">
        <v>13</v>
      </c>
      <c r="F14" s="12">
        <v>13</v>
      </c>
      <c r="G14" s="12">
        <v>14</v>
      </c>
      <c r="H14" s="12">
        <v>7</v>
      </c>
      <c r="I14" s="7">
        <f t="shared" si="0"/>
        <v>85</v>
      </c>
      <c r="J14" s="9">
        <v>84</v>
      </c>
    </row>
    <row r="15" spans="1:10" x14ac:dyDescent="0.25">
      <c r="A15" s="11">
        <v>14</v>
      </c>
      <c r="B15" s="11" t="s">
        <v>154</v>
      </c>
      <c r="C15" s="12">
        <v>22</v>
      </c>
      <c r="D15" s="12">
        <v>19</v>
      </c>
      <c r="E15" s="12">
        <v>14</v>
      </c>
      <c r="F15" s="12">
        <v>14</v>
      </c>
      <c r="G15" s="12">
        <v>14</v>
      </c>
      <c r="H15" s="12">
        <v>6</v>
      </c>
      <c r="I15" s="7">
        <f t="shared" si="0"/>
        <v>89</v>
      </c>
      <c r="J15" s="9">
        <v>88</v>
      </c>
    </row>
    <row r="16" spans="1:10" x14ac:dyDescent="0.25">
      <c r="A16" s="11">
        <v>15</v>
      </c>
      <c r="B16" s="11" t="s">
        <v>164</v>
      </c>
      <c r="C16" s="12">
        <v>21</v>
      </c>
      <c r="D16" s="12">
        <v>17</v>
      </c>
      <c r="E16" s="12">
        <v>14</v>
      </c>
      <c r="F16" s="12">
        <v>13</v>
      </c>
      <c r="G16" s="12">
        <v>13</v>
      </c>
      <c r="H16" s="12">
        <v>6</v>
      </c>
      <c r="I16" s="7">
        <f t="shared" si="0"/>
        <v>84</v>
      </c>
      <c r="J16" s="9">
        <v>83</v>
      </c>
    </row>
    <row r="17" spans="1:10" x14ac:dyDescent="0.25">
      <c r="A17" s="11">
        <v>16</v>
      </c>
      <c r="B17" s="11" t="s">
        <v>172</v>
      </c>
      <c r="C17" s="12">
        <v>21</v>
      </c>
      <c r="D17" s="12">
        <v>16</v>
      </c>
      <c r="E17" s="12">
        <v>14</v>
      </c>
      <c r="F17" s="12">
        <v>12</v>
      </c>
      <c r="G17" s="12">
        <v>13</v>
      </c>
      <c r="H17" s="12">
        <v>6</v>
      </c>
      <c r="I17" s="7">
        <f t="shared" si="0"/>
        <v>82</v>
      </c>
      <c r="J17" s="9">
        <v>82</v>
      </c>
    </row>
    <row r="18" spans="1:10" x14ac:dyDescent="0.25">
      <c r="A18" s="11">
        <v>17</v>
      </c>
      <c r="B18" s="11" t="s">
        <v>181</v>
      </c>
      <c r="C18" s="12">
        <v>19</v>
      </c>
      <c r="D18" s="12">
        <v>16</v>
      </c>
      <c r="E18" s="12">
        <v>13</v>
      </c>
      <c r="F18" s="12">
        <v>13</v>
      </c>
      <c r="G18" s="12">
        <v>14</v>
      </c>
      <c r="H18" s="12">
        <v>6</v>
      </c>
      <c r="I18" s="7">
        <f t="shared" si="0"/>
        <v>81</v>
      </c>
      <c r="J18" s="9">
        <v>81</v>
      </c>
    </row>
    <row r="19" spans="1:10" x14ac:dyDescent="0.25">
      <c r="A19" s="11">
        <v>18</v>
      </c>
      <c r="B19" s="11" t="s">
        <v>190</v>
      </c>
      <c r="C19" s="12">
        <v>20</v>
      </c>
      <c r="D19" s="12">
        <v>15</v>
      </c>
      <c r="E19" s="12">
        <v>13</v>
      </c>
      <c r="F19" s="12">
        <v>13</v>
      </c>
      <c r="G19" s="12">
        <v>14</v>
      </c>
      <c r="H19" s="12">
        <v>5</v>
      </c>
      <c r="I19" s="7">
        <f t="shared" si="0"/>
        <v>80</v>
      </c>
      <c r="J19" s="9">
        <v>79</v>
      </c>
    </row>
    <row r="20" spans="1:10" x14ac:dyDescent="0.25">
      <c r="A20" s="11">
        <v>19</v>
      </c>
      <c r="B20" s="11" t="s">
        <v>197</v>
      </c>
      <c r="C20" s="12">
        <v>20</v>
      </c>
      <c r="D20" s="12">
        <v>13</v>
      </c>
      <c r="E20" s="12">
        <v>14</v>
      </c>
      <c r="F20" s="12">
        <v>13</v>
      </c>
      <c r="G20" s="12">
        <v>13</v>
      </c>
      <c r="H20" s="12">
        <v>5</v>
      </c>
      <c r="I20" s="7">
        <f t="shared" si="0"/>
        <v>78</v>
      </c>
      <c r="J20" s="9">
        <v>78</v>
      </c>
    </row>
    <row r="21" spans="1:10" x14ac:dyDescent="0.25">
      <c r="A21" s="11">
        <v>20</v>
      </c>
      <c r="B21" s="11" t="s">
        <v>206</v>
      </c>
      <c r="C21" s="12">
        <v>20</v>
      </c>
      <c r="D21" s="12">
        <v>14</v>
      </c>
      <c r="E21" s="12">
        <v>13</v>
      </c>
      <c r="F21" s="12">
        <v>13</v>
      </c>
      <c r="G21" s="12">
        <v>13</v>
      </c>
      <c r="H21" s="12">
        <v>5</v>
      </c>
      <c r="I21" s="7">
        <f t="shared" si="0"/>
        <v>78</v>
      </c>
      <c r="J21" s="9">
        <v>78</v>
      </c>
    </row>
    <row r="22" spans="1:10" x14ac:dyDescent="0.25">
      <c r="A22" s="11">
        <v>21</v>
      </c>
      <c r="B22" s="11" t="s">
        <v>215</v>
      </c>
      <c r="C22" s="12">
        <v>20</v>
      </c>
      <c r="D22" s="12">
        <v>11</v>
      </c>
      <c r="E22" s="12">
        <v>12</v>
      </c>
      <c r="F22" s="12">
        <v>11</v>
      </c>
      <c r="G22" s="12">
        <v>11</v>
      </c>
      <c r="H22" s="12">
        <v>5</v>
      </c>
      <c r="I22" s="7">
        <f t="shared" si="0"/>
        <v>70</v>
      </c>
      <c r="J22" s="9">
        <v>69</v>
      </c>
    </row>
    <row r="23" spans="1:10" x14ac:dyDescent="0.25">
      <c r="A23" s="11">
        <v>22</v>
      </c>
      <c r="B23" s="11" t="s">
        <v>223</v>
      </c>
      <c r="C23" s="12">
        <v>20</v>
      </c>
      <c r="D23" s="12">
        <v>11</v>
      </c>
      <c r="E23" s="12">
        <v>12</v>
      </c>
      <c r="F23" s="12">
        <v>11</v>
      </c>
      <c r="G23" s="12">
        <v>10</v>
      </c>
      <c r="H23" s="12">
        <v>4</v>
      </c>
      <c r="I23" s="7">
        <f t="shared" si="0"/>
        <v>68</v>
      </c>
      <c r="J23" s="9">
        <v>66</v>
      </c>
    </row>
    <row r="24" spans="1:10" x14ac:dyDescent="0.25">
      <c r="A24" s="11">
        <v>23</v>
      </c>
      <c r="B24" s="11" t="s">
        <v>230</v>
      </c>
      <c r="C24" s="12">
        <v>19</v>
      </c>
      <c r="D24" s="12">
        <v>12</v>
      </c>
      <c r="E24" s="12">
        <v>11</v>
      </c>
      <c r="F24" s="12">
        <v>12</v>
      </c>
      <c r="G24" s="12">
        <v>11</v>
      </c>
      <c r="H24" s="12">
        <v>4</v>
      </c>
      <c r="I24" s="7">
        <f t="shared" si="0"/>
        <v>69</v>
      </c>
      <c r="J24" s="9">
        <v>70</v>
      </c>
    </row>
    <row r="25" spans="1:10" x14ac:dyDescent="0.25">
      <c r="A25" s="11">
        <v>24</v>
      </c>
      <c r="B25" s="11" t="s">
        <v>241</v>
      </c>
      <c r="C25" s="12">
        <v>18</v>
      </c>
      <c r="D25" s="12">
        <v>13</v>
      </c>
      <c r="E25" s="12">
        <v>12</v>
      </c>
      <c r="F25" s="12">
        <v>12</v>
      </c>
      <c r="G25" s="12">
        <v>12</v>
      </c>
      <c r="H25" s="12">
        <v>5</v>
      </c>
      <c r="I25" s="7">
        <f t="shared" si="0"/>
        <v>72</v>
      </c>
      <c r="J25" s="9">
        <v>72</v>
      </c>
    </row>
    <row r="26" spans="1:10" x14ac:dyDescent="0.25">
      <c r="A26" s="11">
        <v>25</v>
      </c>
      <c r="B26" s="11" t="s">
        <v>251</v>
      </c>
      <c r="C26" s="12">
        <v>19</v>
      </c>
      <c r="D26" s="12">
        <v>14</v>
      </c>
      <c r="E26" s="12">
        <v>13</v>
      </c>
      <c r="F26" s="12">
        <v>12</v>
      </c>
      <c r="G26" s="12">
        <v>11</v>
      </c>
      <c r="H26" s="12">
        <v>5</v>
      </c>
      <c r="I26" s="7">
        <f t="shared" si="0"/>
        <v>74</v>
      </c>
      <c r="J26" s="9">
        <v>73</v>
      </c>
    </row>
    <row r="29" spans="1:10" x14ac:dyDescent="0.25">
      <c r="B29" s="4" t="s">
        <v>266</v>
      </c>
    </row>
    <row r="30" spans="1:10" x14ac:dyDescent="0.25">
      <c r="B30" s="11" t="s">
        <v>267</v>
      </c>
      <c r="C30" s="11" t="s">
        <v>268</v>
      </c>
    </row>
    <row r="31" spans="1:10" x14ac:dyDescent="0.25">
      <c r="B31" s="11" t="s">
        <v>269</v>
      </c>
      <c r="C31" s="11" t="s">
        <v>270</v>
      </c>
    </row>
    <row r="32" spans="1:10" x14ac:dyDescent="0.25">
      <c r="B32" s="11" t="s">
        <v>271</v>
      </c>
      <c r="C32" s="11" t="s">
        <v>272</v>
      </c>
    </row>
    <row r="33" spans="2:3" x14ac:dyDescent="0.25">
      <c r="B33" s="11" t="s">
        <v>273</v>
      </c>
      <c r="C33" s="11" t="s">
        <v>272</v>
      </c>
    </row>
    <row r="34" spans="2:3" x14ac:dyDescent="0.25">
      <c r="B34" s="11" t="s">
        <v>274</v>
      </c>
      <c r="C34" s="11" t="s">
        <v>272</v>
      </c>
    </row>
    <row r="35" spans="2:3" x14ac:dyDescent="0.25">
      <c r="B35" s="11" t="s">
        <v>275</v>
      </c>
      <c r="C35" s="11" t="s">
        <v>276</v>
      </c>
    </row>
    <row r="36" spans="2:3" x14ac:dyDescent="0.25">
      <c r="B36" s="11" t="s">
        <v>277</v>
      </c>
      <c r="C36" s="11" t="s">
        <v>278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6"/>
  <sheetViews>
    <sheetView tabSelected="1" zoomScale="115" zoomScaleNormal="115" workbookViewId="0">
      <pane xSplit="2" ySplit="1" topLeftCell="C2" activePane="bottomRight" state="frozen"/>
      <selection pane="topRight" activeCell="C1" sqref="C1"/>
      <selection pane="bottomLeft" activeCell="A2" sqref="A2"/>
      <selection pane="bottomRight" activeCell="D1" sqref="D1"/>
    </sheetView>
  </sheetViews>
  <sheetFormatPr defaultColWidth="8.7109375" defaultRowHeight="15" x14ac:dyDescent="0.25"/>
  <cols>
    <col min="1" max="1" width="6" customWidth="1"/>
    <col min="2" max="2" width="32" customWidth="1"/>
    <col min="3" max="3" width="22" customWidth="1"/>
    <col min="4" max="4" width="12" customWidth="1"/>
    <col min="5" max="5" width="22" customWidth="1"/>
    <col min="6" max="6" width="26" customWidth="1"/>
    <col min="7" max="7" width="22" customWidth="1"/>
    <col min="8" max="8" width="55" customWidth="1"/>
    <col min="9" max="10" width="50" customWidth="1"/>
    <col min="11" max="12" width="55" customWidth="1"/>
    <col min="13" max="13" width="35" customWidth="1"/>
    <col min="14" max="14" width="50" customWidth="1"/>
    <col min="15" max="15" width="18" customWidth="1"/>
    <col min="16" max="16" width="55" customWidth="1"/>
  </cols>
  <sheetData>
    <row r="1" spans="1:16" ht="36" customHeight="1" x14ac:dyDescent="0.25">
      <c r="A1" s="6" t="s">
        <v>18</v>
      </c>
      <c r="B1" s="6" t="s">
        <v>19</v>
      </c>
      <c r="C1" s="6" t="s">
        <v>279</v>
      </c>
      <c r="D1" s="6" t="s">
        <v>23</v>
      </c>
      <c r="E1" s="6" t="s">
        <v>27</v>
      </c>
      <c r="F1" s="6" t="s">
        <v>280</v>
      </c>
      <c r="G1" s="6" t="s">
        <v>281</v>
      </c>
      <c r="H1" s="6" t="s">
        <v>282</v>
      </c>
      <c r="I1" s="6" t="s">
        <v>283</v>
      </c>
      <c r="J1" s="6" t="s">
        <v>284</v>
      </c>
      <c r="K1" s="6" t="s">
        <v>285</v>
      </c>
      <c r="L1" s="6" t="s">
        <v>286</v>
      </c>
      <c r="M1" s="6" t="s">
        <v>287</v>
      </c>
      <c r="N1" s="6" t="s">
        <v>288</v>
      </c>
      <c r="O1" s="6" t="s">
        <v>289</v>
      </c>
      <c r="P1" s="6" t="s">
        <v>290</v>
      </c>
    </row>
    <row r="2" spans="1:16" ht="169.5" customHeight="1" x14ac:dyDescent="0.25">
      <c r="A2" s="5">
        <v>1</v>
      </c>
      <c r="B2" s="5" t="s">
        <v>34</v>
      </c>
      <c r="C2" s="5" t="s">
        <v>291</v>
      </c>
      <c r="D2" s="5" t="s">
        <v>38</v>
      </c>
      <c r="E2" s="5" t="s">
        <v>42</v>
      </c>
      <c r="F2" s="5" t="s">
        <v>292</v>
      </c>
      <c r="G2" s="5" t="s">
        <v>293</v>
      </c>
      <c r="H2" s="5" t="s">
        <v>294</v>
      </c>
      <c r="I2" s="5" t="s">
        <v>295</v>
      </c>
      <c r="J2" s="5" t="s">
        <v>296</v>
      </c>
      <c r="K2" s="5" t="s">
        <v>297</v>
      </c>
      <c r="L2" s="5" t="s">
        <v>298</v>
      </c>
      <c r="M2" s="5" t="s">
        <v>299</v>
      </c>
      <c r="N2" s="5" t="s">
        <v>300</v>
      </c>
      <c r="O2" s="5" t="s">
        <v>46</v>
      </c>
      <c r="P2" s="5" t="s">
        <v>301</v>
      </c>
    </row>
    <row r="3" spans="1:16" ht="169.5" customHeight="1" x14ac:dyDescent="0.25">
      <c r="A3" s="5">
        <v>2</v>
      </c>
      <c r="B3" s="5" t="s">
        <v>48</v>
      </c>
      <c r="C3" s="5" t="s">
        <v>302</v>
      </c>
      <c r="D3" s="5" t="s">
        <v>52</v>
      </c>
      <c r="E3" s="5" t="s">
        <v>55</v>
      </c>
      <c r="F3" s="5" t="s">
        <v>292</v>
      </c>
      <c r="G3" s="5" t="s">
        <v>303</v>
      </c>
      <c r="H3" s="5" t="s">
        <v>304</v>
      </c>
      <c r="I3" s="5" t="s">
        <v>305</v>
      </c>
      <c r="J3" s="5" t="s">
        <v>306</v>
      </c>
      <c r="K3" s="5" t="s">
        <v>307</v>
      </c>
      <c r="L3" s="5" t="s">
        <v>308</v>
      </c>
      <c r="M3" s="5" t="s">
        <v>309</v>
      </c>
      <c r="N3" s="5" t="s">
        <v>310</v>
      </c>
      <c r="O3" s="5" t="s">
        <v>46</v>
      </c>
      <c r="P3" s="5" t="s">
        <v>311</v>
      </c>
    </row>
    <row r="4" spans="1:16" ht="169.5" customHeight="1" x14ac:dyDescent="0.25">
      <c r="A4" s="5">
        <v>3</v>
      </c>
      <c r="B4" s="5" t="s">
        <v>59</v>
      </c>
      <c r="C4" s="5" t="s">
        <v>312</v>
      </c>
      <c r="D4" s="5" t="s">
        <v>38</v>
      </c>
      <c r="E4" s="5" t="s">
        <v>55</v>
      </c>
      <c r="F4" s="5" t="s">
        <v>313</v>
      </c>
      <c r="G4" s="5" t="s">
        <v>314</v>
      </c>
      <c r="H4" s="5" t="s">
        <v>315</v>
      </c>
      <c r="I4" s="5" t="s">
        <v>316</v>
      </c>
      <c r="J4" s="5" t="s">
        <v>317</v>
      </c>
      <c r="K4" s="5" t="s">
        <v>318</v>
      </c>
      <c r="L4" s="5" t="s">
        <v>319</v>
      </c>
      <c r="M4" s="5" t="s">
        <v>320</v>
      </c>
      <c r="N4" s="5" t="s">
        <v>321</v>
      </c>
      <c r="O4" s="5" t="s">
        <v>68</v>
      </c>
      <c r="P4" s="5" t="s">
        <v>322</v>
      </c>
    </row>
    <row r="5" spans="1:16" ht="169.5" customHeight="1" x14ac:dyDescent="0.25">
      <c r="A5" s="5">
        <v>4</v>
      </c>
      <c r="B5" s="5" t="s">
        <v>70</v>
      </c>
      <c r="C5" s="5" t="s">
        <v>323</v>
      </c>
      <c r="D5" s="5" t="s">
        <v>73</v>
      </c>
      <c r="E5" s="5" t="s">
        <v>75</v>
      </c>
      <c r="F5" s="5" t="s">
        <v>324</v>
      </c>
      <c r="G5" s="5" t="s">
        <v>325</v>
      </c>
      <c r="H5" s="5" t="s">
        <v>326</v>
      </c>
      <c r="I5" s="5" t="s">
        <v>327</v>
      </c>
      <c r="J5" s="5" t="s">
        <v>328</v>
      </c>
      <c r="K5" s="5" t="s">
        <v>329</v>
      </c>
      <c r="L5" s="5" t="s">
        <v>330</v>
      </c>
      <c r="M5" s="5" t="s">
        <v>331</v>
      </c>
      <c r="N5" s="5" t="s">
        <v>332</v>
      </c>
      <c r="O5" s="5" t="s">
        <v>79</v>
      </c>
      <c r="P5" s="5" t="s">
        <v>333</v>
      </c>
    </row>
    <row r="6" spans="1:16" ht="169.5" customHeight="1" x14ac:dyDescent="0.25">
      <c r="A6" s="5">
        <v>5</v>
      </c>
      <c r="B6" s="5" t="s">
        <v>80</v>
      </c>
      <c r="C6" s="5" t="s">
        <v>334</v>
      </c>
      <c r="D6" s="5" t="s">
        <v>38</v>
      </c>
      <c r="E6" s="5" t="s">
        <v>84</v>
      </c>
      <c r="F6" s="5" t="s">
        <v>335</v>
      </c>
      <c r="G6" s="5" t="s">
        <v>336</v>
      </c>
      <c r="H6" s="5" t="s">
        <v>337</v>
      </c>
      <c r="I6" s="5" t="s">
        <v>338</v>
      </c>
      <c r="J6" s="5" t="s">
        <v>339</v>
      </c>
      <c r="K6" s="5" t="s">
        <v>340</v>
      </c>
      <c r="L6" s="5" t="s">
        <v>341</v>
      </c>
      <c r="M6" s="5" t="s">
        <v>342</v>
      </c>
      <c r="N6" s="5" t="s">
        <v>343</v>
      </c>
      <c r="O6" s="5" t="s">
        <v>46</v>
      </c>
      <c r="P6" s="5" t="s">
        <v>344</v>
      </c>
    </row>
    <row r="7" spans="1:16" ht="169.5" customHeight="1" x14ac:dyDescent="0.25">
      <c r="A7" s="5">
        <v>6</v>
      </c>
      <c r="B7" s="5" t="s">
        <v>88</v>
      </c>
      <c r="C7" s="5" t="s">
        <v>345</v>
      </c>
      <c r="D7" s="5" t="s">
        <v>38</v>
      </c>
      <c r="E7" s="5" t="s">
        <v>93</v>
      </c>
      <c r="F7" s="5" t="s">
        <v>335</v>
      </c>
      <c r="G7" s="5" t="s">
        <v>346</v>
      </c>
      <c r="H7" s="5" t="s">
        <v>347</v>
      </c>
      <c r="I7" s="5" t="s">
        <v>348</v>
      </c>
      <c r="J7" s="5" t="s">
        <v>349</v>
      </c>
      <c r="K7" s="5" t="s">
        <v>350</v>
      </c>
      <c r="L7" s="5" t="s">
        <v>351</v>
      </c>
      <c r="M7" s="5" t="s">
        <v>352</v>
      </c>
      <c r="N7" s="5" t="s">
        <v>353</v>
      </c>
      <c r="O7" s="5" t="s">
        <v>79</v>
      </c>
      <c r="P7" s="5" t="s">
        <v>354</v>
      </c>
    </row>
    <row r="8" spans="1:16" ht="169.5" customHeight="1" x14ac:dyDescent="0.25">
      <c r="A8" s="5">
        <v>7</v>
      </c>
      <c r="B8" s="5" t="s">
        <v>97</v>
      </c>
      <c r="C8" s="5" t="s">
        <v>355</v>
      </c>
      <c r="D8" s="5" t="s">
        <v>38</v>
      </c>
      <c r="E8" s="5" t="s">
        <v>84</v>
      </c>
      <c r="F8" s="5" t="s">
        <v>335</v>
      </c>
      <c r="G8" s="5" t="s">
        <v>356</v>
      </c>
      <c r="H8" s="5" t="s">
        <v>357</v>
      </c>
      <c r="I8" s="5" t="s">
        <v>358</v>
      </c>
      <c r="J8" s="5" t="s">
        <v>359</v>
      </c>
      <c r="K8" s="5" t="s">
        <v>360</v>
      </c>
      <c r="L8" s="5" t="s">
        <v>361</v>
      </c>
      <c r="M8" s="5" t="s">
        <v>362</v>
      </c>
      <c r="N8" s="5" t="s">
        <v>363</v>
      </c>
      <c r="O8" s="5" t="s">
        <v>46</v>
      </c>
      <c r="P8" s="5" t="s">
        <v>364</v>
      </c>
    </row>
    <row r="9" spans="1:16" ht="169.5" customHeight="1" x14ac:dyDescent="0.25">
      <c r="A9" s="5">
        <v>8</v>
      </c>
      <c r="B9" s="5" t="s">
        <v>104</v>
      </c>
      <c r="C9" s="5" t="s">
        <v>365</v>
      </c>
      <c r="D9" s="5" t="s">
        <v>38</v>
      </c>
      <c r="E9" s="5" t="s">
        <v>109</v>
      </c>
      <c r="F9" s="5" t="s">
        <v>292</v>
      </c>
      <c r="G9" s="5" t="s">
        <v>366</v>
      </c>
      <c r="H9" s="5" t="s">
        <v>367</v>
      </c>
      <c r="I9" s="5" t="s">
        <v>368</v>
      </c>
      <c r="J9" s="5" t="s">
        <v>369</v>
      </c>
      <c r="K9" s="5" t="s">
        <v>370</v>
      </c>
      <c r="L9" s="5" t="s">
        <v>371</v>
      </c>
      <c r="M9" s="5" t="s">
        <v>372</v>
      </c>
      <c r="N9" s="5" t="s">
        <v>373</v>
      </c>
      <c r="O9" s="5" t="s">
        <v>46</v>
      </c>
      <c r="P9" s="5" t="s">
        <v>374</v>
      </c>
    </row>
    <row r="10" spans="1:16" ht="169.5" customHeight="1" x14ac:dyDescent="0.25">
      <c r="A10" s="5">
        <v>9</v>
      </c>
      <c r="B10" s="5" t="s">
        <v>113</v>
      </c>
      <c r="C10" s="5" t="s">
        <v>375</v>
      </c>
      <c r="D10" s="5" t="s">
        <v>38</v>
      </c>
      <c r="E10" s="5" t="s">
        <v>55</v>
      </c>
      <c r="F10" s="5" t="s">
        <v>292</v>
      </c>
      <c r="G10" s="5" t="s">
        <v>376</v>
      </c>
      <c r="H10" s="5" t="s">
        <v>377</v>
      </c>
      <c r="I10" s="5" t="s">
        <v>378</v>
      </c>
      <c r="J10" s="5" t="s">
        <v>379</v>
      </c>
      <c r="K10" s="5" t="s">
        <v>380</v>
      </c>
      <c r="L10" s="5" t="s">
        <v>381</v>
      </c>
      <c r="M10" s="5" t="s">
        <v>382</v>
      </c>
      <c r="N10" s="5" t="s">
        <v>383</v>
      </c>
      <c r="O10" s="5" t="s">
        <v>46</v>
      </c>
      <c r="P10" s="5" t="s">
        <v>384</v>
      </c>
    </row>
    <row r="11" spans="1:16" ht="169.5" customHeight="1" x14ac:dyDescent="0.25">
      <c r="A11" s="5">
        <v>10</v>
      </c>
      <c r="B11" s="5" t="s">
        <v>119</v>
      </c>
      <c r="C11" s="5" t="s">
        <v>385</v>
      </c>
      <c r="D11" s="5" t="s">
        <v>52</v>
      </c>
      <c r="E11" s="5" t="s">
        <v>125</v>
      </c>
      <c r="F11" s="5" t="s">
        <v>313</v>
      </c>
      <c r="G11" s="5" t="s">
        <v>386</v>
      </c>
      <c r="H11" s="5" t="s">
        <v>387</v>
      </c>
      <c r="I11" s="5" t="s">
        <v>388</v>
      </c>
      <c r="J11" s="5" t="s">
        <v>389</v>
      </c>
      <c r="K11" s="5" t="s">
        <v>390</v>
      </c>
      <c r="L11" s="5" t="s">
        <v>391</v>
      </c>
      <c r="M11" s="5" t="s">
        <v>392</v>
      </c>
      <c r="N11" s="5" t="s">
        <v>393</v>
      </c>
      <c r="O11" s="5" t="s">
        <v>46</v>
      </c>
      <c r="P11" s="5" t="s">
        <v>394</v>
      </c>
    </row>
    <row r="12" spans="1:16" ht="169.5" customHeight="1" x14ac:dyDescent="0.25">
      <c r="A12" s="5">
        <v>11</v>
      </c>
      <c r="B12" s="5" t="s">
        <v>129</v>
      </c>
      <c r="C12" s="5" t="s">
        <v>395</v>
      </c>
      <c r="D12" s="5" t="s">
        <v>52</v>
      </c>
      <c r="E12" s="5" t="s">
        <v>135</v>
      </c>
      <c r="F12" s="5" t="s">
        <v>396</v>
      </c>
      <c r="G12" s="5" t="s">
        <v>397</v>
      </c>
      <c r="H12" s="5" t="s">
        <v>398</v>
      </c>
      <c r="I12" s="5" t="s">
        <v>399</v>
      </c>
      <c r="J12" s="5" t="s">
        <v>400</v>
      </c>
      <c r="K12" s="5" t="s">
        <v>401</v>
      </c>
      <c r="L12" s="5" t="s">
        <v>402</v>
      </c>
      <c r="M12" s="5" t="s">
        <v>403</v>
      </c>
      <c r="N12" s="5" t="s">
        <v>404</v>
      </c>
      <c r="O12" s="5" t="s">
        <v>79</v>
      </c>
      <c r="P12" s="5" t="s">
        <v>405</v>
      </c>
    </row>
    <row r="13" spans="1:16" ht="169.5" customHeight="1" x14ac:dyDescent="0.25">
      <c r="A13" s="5">
        <v>12</v>
      </c>
      <c r="B13" s="5" t="s">
        <v>139</v>
      </c>
      <c r="C13" s="5" t="s">
        <v>406</v>
      </c>
      <c r="D13" s="5" t="s">
        <v>52</v>
      </c>
      <c r="E13" s="5" t="s">
        <v>142</v>
      </c>
      <c r="F13" s="5" t="s">
        <v>335</v>
      </c>
      <c r="G13" s="5" t="s">
        <v>407</v>
      </c>
      <c r="H13" s="5" t="s">
        <v>408</v>
      </c>
      <c r="I13" s="5" t="s">
        <v>409</v>
      </c>
      <c r="J13" s="5" t="s">
        <v>410</v>
      </c>
      <c r="K13" s="5" t="s">
        <v>411</v>
      </c>
      <c r="L13" s="5" t="s">
        <v>412</v>
      </c>
      <c r="M13" s="5" t="s">
        <v>413</v>
      </c>
      <c r="N13" s="5" t="s">
        <v>414</v>
      </c>
      <c r="O13" s="5" t="s">
        <v>46</v>
      </c>
      <c r="P13" s="5" t="s">
        <v>415</v>
      </c>
    </row>
    <row r="14" spans="1:16" ht="169.5" customHeight="1" x14ac:dyDescent="0.25">
      <c r="A14" s="5">
        <v>13</v>
      </c>
      <c r="B14" s="5" t="s">
        <v>146</v>
      </c>
      <c r="C14" s="5" t="s">
        <v>416</v>
      </c>
      <c r="D14" s="5" t="s">
        <v>52</v>
      </c>
      <c r="E14" s="5" t="s">
        <v>150</v>
      </c>
      <c r="F14" s="5" t="s">
        <v>324</v>
      </c>
      <c r="G14" s="5" t="s">
        <v>417</v>
      </c>
      <c r="H14" s="5" t="s">
        <v>418</v>
      </c>
      <c r="I14" s="5" t="s">
        <v>419</v>
      </c>
      <c r="J14" s="5" t="s">
        <v>420</v>
      </c>
      <c r="K14" s="5" t="s">
        <v>421</v>
      </c>
      <c r="L14" s="5" t="s">
        <v>422</v>
      </c>
      <c r="M14" s="5" t="s">
        <v>423</v>
      </c>
      <c r="N14" s="5" t="s">
        <v>424</v>
      </c>
      <c r="O14" s="5" t="s">
        <v>46</v>
      </c>
      <c r="P14" s="5" t="s">
        <v>425</v>
      </c>
    </row>
    <row r="15" spans="1:16" ht="169.5" customHeight="1" x14ac:dyDescent="0.25">
      <c r="A15" s="5">
        <v>14</v>
      </c>
      <c r="B15" s="5" t="s">
        <v>154</v>
      </c>
      <c r="C15" s="5" t="s">
        <v>426</v>
      </c>
      <c r="D15" s="5" t="s">
        <v>73</v>
      </c>
      <c r="E15" s="5" t="s">
        <v>160</v>
      </c>
      <c r="F15" s="5" t="s">
        <v>427</v>
      </c>
      <c r="G15" s="5" t="s">
        <v>428</v>
      </c>
      <c r="H15" s="5" t="s">
        <v>429</v>
      </c>
      <c r="I15" s="5" t="s">
        <v>430</v>
      </c>
      <c r="J15" s="5" t="s">
        <v>431</v>
      </c>
      <c r="K15" s="5" t="s">
        <v>432</v>
      </c>
      <c r="L15" s="5" t="s">
        <v>433</v>
      </c>
      <c r="M15" s="5" t="s">
        <v>434</v>
      </c>
      <c r="N15" s="5" t="s">
        <v>435</v>
      </c>
      <c r="O15" s="5" t="s">
        <v>79</v>
      </c>
      <c r="P15" s="5" t="s">
        <v>436</v>
      </c>
    </row>
    <row r="16" spans="1:16" ht="169.5" customHeight="1" x14ac:dyDescent="0.25">
      <c r="A16" s="5">
        <v>15</v>
      </c>
      <c r="B16" s="5" t="s">
        <v>164</v>
      </c>
      <c r="C16" s="5" t="s">
        <v>437</v>
      </c>
      <c r="D16" s="5" t="s">
        <v>52</v>
      </c>
      <c r="E16" s="5" t="s">
        <v>150</v>
      </c>
      <c r="F16" s="5" t="s">
        <v>324</v>
      </c>
      <c r="G16" s="5" t="s">
        <v>303</v>
      </c>
      <c r="H16" s="5" t="s">
        <v>438</v>
      </c>
      <c r="I16" s="5" t="s">
        <v>439</v>
      </c>
      <c r="J16" s="5" t="s">
        <v>440</v>
      </c>
      <c r="K16" s="5" t="s">
        <v>441</v>
      </c>
      <c r="L16" s="5" t="s">
        <v>442</v>
      </c>
      <c r="M16" s="5" t="s">
        <v>443</v>
      </c>
      <c r="N16" s="5" t="s">
        <v>444</v>
      </c>
      <c r="O16" s="5" t="s">
        <v>46</v>
      </c>
      <c r="P16" s="5" t="s">
        <v>445</v>
      </c>
    </row>
    <row r="17" spans="1:16" ht="169.5" customHeight="1" x14ac:dyDescent="0.25">
      <c r="A17" s="5">
        <v>16</v>
      </c>
      <c r="B17" s="5" t="s">
        <v>172</v>
      </c>
      <c r="C17" s="5" t="s">
        <v>446</v>
      </c>
      <c r="D17" s="5" t="s">
        <v>52</v>
      </c>
      <c r="E17" s="5" t="s">
        <v>55</v>
      </c>
      <c r="F17" s="5" t="s">
        <v>313</v>
      </c>
      <c r="G17" s="5" t="s">
        <v>447</v>
      </c>
      <c r="H17" s="5" t="s">
        <v>448</v>
      </c>
      <c r="I17" s="5" t="s">
        <v>449</v>
      </c>
      <c r="J17" s="5" t="s">
        <v>450</v>
      </c>
      <c r="K17" s="5" t="s">
        <v>451</v>
      </c>
      <c r="L17" s="5" t="s">
        <v>452</v>
      </c>
      <c r="M17" s="5" t="s">
        <v>453</v>
      </c>
      <c r="N17" s="5" t="s">
        <v>454</v>
      </c>
      <c r="O17" s="5" t="s">
        <v>46</v>
      </c>
      <c r="P17" s="5" t="s">
        <v>455</v>
      </c>
    </row>
    <row r="18" spans="1:16" ht="169.5" customHeight="1" x14ac:dyDescent="0.25">
      <c r="A18" s="5">
        <v>17</v>
      </c>
      <c r="B18" s="5" t="s">
        <v>181</v>
      </c>
      <c r="C18" s="5" t="s">
        <v>456</v>
      </c>
      <c r="D18" s="5" t="s">
        <v>73</v>
      </c>
      <c r="E18" s="5" t="s">
        <v>186</v>
      </c>
      <c r="F18" s="5" t="s">
        <v>313</v>
      </c>
      <c r="G18" s="5" t="s">
        <v>457</v>
      </c>
      <c r="H18" s="5" t="s">
        <v>458</v>
      </c>
      <c r="I18" s="5" t="s">
        <v>459</v>
      </c>
      <c r="J18" s="5" t="s">
        <v>460</v>
      </c>
      <c r="K18" s="5" t="s">
        <v>461</v>
      </c>
      <c r="L18" s="5" t="s">
        <v>462</v>
      </c>
      <c r="M18" s="5" t="s">
        <v>463</v>
      </c>
      <c r="N18" s="5" t="s">
        <v>464</v>
      </c>
      <c r="O18" s="5" t="s">
        <v>46</v>
      </c>
      <c r="P18" s="5" t="s">
        <v>465</v>
      </c>
    </row>
    <row r="19" spans="1:16" ht="169.5" customHeight="1" x14ac:dyDescent="0.25">
      <c r="A19" s="5">
        <v>18</v>
      </c>
      <c r="B19" s="5" t="s">
        <v>190</v>
      </c>
      <c r="C19" s="5" t="s">
        <v>466</v>
      </c>
      <c r="D19" s="5" t="s">
        <v>52</v>
      </c>
      <c r="E19" s="5" t="s">
        <v>193</v>
      </c>
      <c r="F19" s="5" t="s">
        <v>467</v>
      </c>
      <c r="G19" s="5" t="s">
        <v>468</v>
      </c>
      <c r="H19" s="5" t="s">
        <v>469</v>
      </c>
      <c r="I19" s="5" t="s">
        <v>470</v>
      </c>
      <c r="J19" s="5" t="s">
        <v>471</v>
      </c>
      <c r="K19" s="5" t="s">
        <v>472</v>
      </c>
      <c r="L19" s="5" t="s">
        <v>473</v>
      </c>
      <c r="M19" s="5" t="s">
        <v>474</v>
      </c>
      <c r="N19" s="5" t="s">
        <v>475</v>
      </c>
      <c r="O19" s="5" t="s">
        <v>46</v>
      </c>
      <c r="P19" s="5" t="s">
        <v>476</v>
      </c>
    </row>
    <row r="20" spans="1:16" ht="169.5" customHeight="1" x14ac:dyDescent="0.25">
      <c r="A20" s="5">
        <v>19</v>
      </c>
      <c r="B20" s="5" t="s">
        <v>197</v>
      </c>
      <c r="C20" s="5" t="s">
        <v>477</v>
      </c>
      <c r="D20" s="5" t="s">
        <v>52</v>
      </c>
      <c r="E20" s="5" t="s">
        <v>202</v>
      </c>
      <c r="F20" s="5" t="s">
        <v>478</v>
      </c>
      <c r="G20" s="5" t="s">
        <v>479</v>
      </c>
      <c r="H20" s="5" t="s">
        <v>480</v>
      </c>
      <c r="I20" s="5" t="s">
        <v>481</v>
      </c>
      <c r="J20" s="5" t="s">
        <v>482</v>
      </c>
      <c r="K20" s="5" t="s">
        <v>483</v>
      </c>
      <c r="L20" s="5" t="s">
        <v>484</v>
      </c>
      <c r="M20" s="5" t="s">
        <v>485</v>
      </c>
      <c r="N20" s="5" t="s">
        <v>486</v>
      </c>
      <c r="O20" s="5" t="s">
        <v>46</v>
      </c>
      <c r="P20" s="5" t="s">
        <v>487</v>
      </c>
    </row>
    <row r="21" spans="1:16" ht="169.5" customHeight="1" x14ac:dyDescent="0.25">
      <c r="A21" s="5">
        <v>20</v>
      </c>
      <c r="B21" s="5" t="s">
        <v>206</v>
      </c>
      <c r="C21" s="5" t="s">
        <v>488</v>
      </c>
      <c r="D21" s="5" t="s">
        <v>52</v>
      </c>
      <c r="E21" s="5" t="s">
        <v>211</v>
      </c>
      <c r="F21" s="5" t="s">
        <v>313</v>
      </c>
      <c r="G21" s="5" t="s">
        <v>489</v>
      </c>
      <c r="H21" s="5" t="s">
        <v>490</v>
      </c>
      <c r="I21" s="5" t="s">
        <v>491</v>
      </c>
      <c r="J21" s="5" t="s">
        <v>492</v>
      </c>
      <c r="K21" s="5" t="s">
        <v>493</v>
      </c>
      <c r="L21" s="5" t="s">
        <v>494</v>
      </c>
      <c r="M21" s="5" t="s">
        <v>495</v>
      </c>
      <c r="N21" s="5" t="s">
        <v>496</v>
      </c>
      <c r="O21" s="5" t="s">
        <v>46</v>
      </c>
      <c r="P21" s="5" t="s">
        <v>497</v>
      </c>
    </row>
    <row r="22" spans="1:16" ht="169.5" customHeight="1" x14ac:dyDescent="0.25">
      <c r="A22" s="5">
        <v>21</v>
      </c>
      <c r="B22" s="5" t="s">
        <v>215</v>
      </c>
      <c r="C22" s="5" t="s">
        <v>498</v>
      </c>
      <c r="D22" s="5" t="s">
        <v>38</v>
      </c>
      <c r="E22" s="5" t="s">
        <v>217</v>
      </c>
      <c r="F22" s="5" t="s">
        <v>478</v>
      </c>
      <c r="G22" s="5" t="s">
        <v>499</v>
      </c>
      <c r="H22" s="5" t="s">
        <v>500</v>
      </c>
      <c r="I22" s="5" t="s">
        <v>501</v>
      </c>
      <c r="J22" s="5" t="s">
        <v>502</v>
      </c>
      <c r="K22" s="5" t="s">
        <v>503</v>
      </c>
      <c r="L22" s="5" t="s">
        <v>504</v>
      </c>
      <c r="M22" s="5" t="s">
        <v>505</v>
      </c>
      <c r="N22" s="5" t="s">
        <v>506</v>
      </c>
      <c r="O22" s="5" t="s">
        <v>221</v>
      </c>
      <c r="P22" s="5" t="s">
        <v>507</v>
      </c>
    </row>
    <row r="23" spans="1:16" ht="169.5" customHeight="1" x14ac:dyDescent="0.25">
      <c r="A23" s="5">
        <v>22</v>
      </c>
      <c r="B23" s="5" t="s">
        <v>223</v>
      </c>
      <c r="C23" s="5" t="s">
        <v>508</v>
      </c>
      <c r="D23" s="5" t="s">
        <v>38</v>
      </c>
      <c r="E23" s="5" t="s">
        <v>226</v>
      </c>
      <c r="F23" s="5" t="s">
        <v>478</v>
      </c>
      <c r="G23" s="5" t="s">
        <v>509</v>
      </c>
      <c r="H23" s="5" t="s">
        <v>510</v>
      </c>
      <c r="I23" s="5" t="s">
        <v>511</v>
      </c>
      <c r="J23" s="5" t="s">
        <v>512</v>
      </c>
      <c r="K23" s="5" t="s">
        <v>513</v>
      </c>
      <c r="L23" s="5" t="s">
        <v>514</v>
      </c>
      <c r="M23" s="5" t="s">
        <v>515</v>
      </c>
      <c r="N23" s="5" t="s">
        <v>516</v>
      </c>
      <c r="O23" s="5" t="s">
        <v>221</v>
      </c>
      <c r="P23" s="5" t="s">
        <v>517</v>
      </c>
    </row>
    <row r="24" spans="1:16" ht="169.5" customHeight="1" x14ac:dyDescent="0.25">
      <c r="A24" s="5">
        <v>23</v>
      </c>
      <c r="B24" s="5" t="s">
        <v>230</v>
      </c>
      <c r="C24" s="5" t="s">
        <v>518</v>
      </c>
      <c r="D24" s="5" t="s">
        <v>52</v>
      </c>
      <c r="E24" s="5" t="s">
        <v>236</v>
      </c>
      <c r="F24" s="5" t="s">
        <v>313</v>
      </c>
      <c r="G24" s="5" t="s">
        <v>519</v>
      </c>
      <c r="H24" s="5" t="s">
        <v>520</v>
      </c>
      <c r="I24" s="5" t="s">
        <v>521</v>
      </c>
      <c r="J24" s="5" t="s">
        <v>522</v>
      </c>
      <c r="K24" s="5" t="s">
        <v>523</v>
      </c>
      <c r="L24" s="5" t="s">
        <v>524</v>
      </c>
      <c r="M24" s="5" t="s">
        <v>525</v>
      </c>
      <c r="N24" s="5" t="s">
        <v>526</v>
      </c>
      <c r="O24" s="5" t="s">
        <v>240</v>
      </c>
      <c r="P24" s="5" t="s">
        <v>527</v>
      </c>
    </row>
    <row r="25" spans="1:16" ht="169.5" customHeight="1" x14ac:dyDescent="0.25">
      <c r="A25" s="5">
        <v>24</v>
      </c>
      <c r="B25" s="5" t="s">
        <v>241</v>
      </c>
      <c r="C25" s="5" t="s">
        <v>528</v>
      </c>
      <c r="D25" s="5" t="s">
        <v>52</v>
      </c>
      <c r="E25" s="5" t="s">
        <v>247</v>
      </c>
      <c r="F25" s="5" t="s">
        <v>313</v>
      </c>
      <c r="G25" s="5" t="s">
        <v>529</v>
      </c>
      <c r="H25" s="5" t="s">
        <v>530</v>
      </c>
      <c r="I25" s="5" t="s">
        <v>531</v>
      </c>
      <c r="J25" s="5" t="s">
        <v>532</v>
      </c>
      <c r="K25" s="5" t="s">
        <v>533</v>
      </c>
      <c r="L25" s="5" t="s">
        <v>534</v>
      </c>
      <c r="M25" s="5" t="s">
        <v>535</v>
      </c>
      <c r="N25" s="5" t="s">
        <v>536</v>
      </c>
      <c r="O25" s="5" t="s">
        <v>221</v>
      </c>
      <c r="P25" s="5" t="s">
        <v>537</v>
      </c>
    </row>
    <row r="26" spans="1:16" ht="169.5" customHeight="1" x14ac:dyDescent="0.25">
      <c r="A26" s="5">
        <v>25</v>
      </c>
      <c r="B26" s="5" t="s">
        <v>251</v>
      </c>
      <c r="C26" s="5" t="s">
        <v>538</v>
      </c>
      <c r="D26" s="5" t="s">
        <v>52</v>
      </c>
      <c r="E26" s="5" t="s">
        <v>254</v>
      </c>
      <c r="F26" s="5" t="s">
        <v>539</v>
      </c>
      <c r="G26" s="5" t="s">
        <v>540</v>
      </c>
      <c r="H26" s="5" t="s">
        <v>541</v>
      </c>
      <c r="I26" s="5" t="s">
        <v>542</v>
      </c>
      <c r="J26" s="5" t="s">
        <v>543</v>
      </c>
      <c r="K26" s="5" t="s">
        <v>544</v>
      </c>
      <c r="L26" s="5" t="s">
        <v>545</v>
      </c>
      <c r="M26" s="5" t="s">
        <v>546</v>
      </c>
      <c r="N26" s="5" t="s">
        <v>547</v>
      </c>
      <c r="O26" s="5" t="s">
        <v>221</v>
      </c>
      <c r="P26" s="5" t="s">
        <v>548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5"/>
  <sheetViews>
    <sheetView zoomScaleNormal="100" workbookViewId="0"/>
  </sheetViews>
  <sheetFormatPr defaultColWidth="8.7109375" defaultRowHeight="15" x14ac:dyDescent="0.25"/>
  <cols>
    <col min="1" max="1" width="6" customWidth="1"/>
    <col min="2" max="2" width="42" customWidth="1"/>
    <col min="3" max="3" width="22" customWidth="1"/>
    <col min="4" max="4" width="70" customWidth="1"/>
  </cols>
  <sheetData>
    <row r="1" spans="1:4" ht="23.25" x14ac:dyDescent="0.25">
      <c r="A1" s="13" t="s">
        <v>549</v>
      </c>
    </row>
    <row r="2" spans="1:4" x14ac:dyDescent="0.25">
      <c r="A2" s="3" t="s">
        <v>550</v>
      </c>
    </row>
    <row r="4" spans="1:4" ht="24" customHeight="1" x14ac:dyDescent="0.25">
      <c r="A4" s="1" t="s">
        <v>551</v>
      </c>
      <c r="B4" s="1"/>
      <c r="C4" s="1"/>
      <c r="D4" s="1"/>
    </row>
    <row r="5" spans="1:4" ht="21.75" customHeight="1" x14ac:dyDescent="0.25">
      <c r="A5" s="6" t="s">
        <v>552</v>
      </c>
      <c r="B5" s="6" t="s">
        <v>19</v>
      </c>
      <c r="C5" s="6" t="s">
        <v>20</v>
      </c>
      <c r="D5" s="6" t="s">
        <v>553</v>
      </c>
    </row>
    <row r="6" spans="1:4" ht="36" customHeight="1" x14ac:dyDescent="0.25">
      <c r="A6" s="5">
        <v>1</v>
      </c>
      <c r="B6" s="5" t="s">
        <v>34</v>
      </c>
      <c r="C6" s="5" t="s">
        <v>35</v>
      </c>
      <c r="D6" s="5" t="s">
        <v>301</v>
      </c>
    </row>
    <row r="7" spans="1:4" ht="36" customHeight="1" x14ac:dyDescent="0.25">
      <c r="A7" s="5">
        <v>2</v>
      </c>
      <c r="B7" s="5" t="s">
        <v>48</v>
      </c>
      <c r="C7" s="5" t="s">
        <v>49</v>
      </c>
      <c r="D7" s="5" t="s">
        <v>311</v>
      </c>
    </row>
    <row r="8" spans="1:4" ht="36" customHeight="1" x14ac:dyDescent="0.25">
      <c r="A8" s="5">
        <v>3</v>
      </c>
      <c r="B8" s="5" t="s">
        <v>59</v>
      </c>
      <c r="C8" s="5" t="s">
        <v>60</v>
      </c>
      <c r="D8" s="5" t="s">
        <v>322</v>
      </c>
    </row>
    <row r="9" spans="1:4" ht="36" customHeight="1" x14ac:dyDescent="0.25">
      <c r="A9" s="5">
        <v>4</v>
      </c>
      <c r="B9" s="5" t="s">
        <v>70</v>
      </c>
      <c r="C9" s="5" t="s">
        <v>71</v>
      </c>
      <c r="D9" s="5" t="s">
        <v>333</v>
      </c>
    </row>
    <row r="10" spans="1:4" ht="36" customHeight="1" x14ac:dyDescent="0.25">
      <c r="A10" s="5">
        <v>5</v>
      </c>
      <c r="B10" s="5" t="s">
        <v>80</v>
      </c>
      <c r="C10" s="5" t="s">
        <v>81</v>
      </c>
      <c r="D10" s="5" t="s">
        <v>344</v>
      </c>
    </row>
    <row r="11" spans="1:4" ht="36" customHeight="1" x14ac:dyDescent="0.25">
      <c r="A11" s="5">
        <v>6</v>
      </c>
      <c r="B11" s="5" t="s">
        <v>88</v>
      </c>
      <c r="C11" s="5" t="s">
        <v>89</v>
      </c>
      <c r="D11" s="5" t="s">
        <v>354</v>
      </c>
    </row>
    <row r="12" spans="1:4" ht="36" customHeight="1" x14ac:dyDescent="0.25">
      <c r="A12" s="5">
        <v>7</v>
      </c>
      <c r="B12" s="5" t="s">
        <v>97</v>
      </c>
      <c r="C12" s="5" t="s">
        <v>98</v>
      </c>
      <c r="D12" s="5" t="s">
        <v>364</v>
      </c>
    </row>
    <row r="13" spans="1:4" ht="36" customHeight="1" x14ac:dyDescent="0.25">
      <c r="A13" s="5">
        <v>8</v>
      </c>
      <c r="B13" s="5" t="s">
        <v>104</v>
      </c>
      <c r="C13" s="5" t="s">
        <v>105</v>
      </c>
      <c r="D13" s="5" t="s">
        <v>374</v>
      </c>
    </row>
    <row r="14" spans="1:4" ht="36" customHeight="1" x14ac:dyDescent="0.25">
      <c r="A14" s="5">
        <v>9</v>
      </c>
      <c r="B14" s="5" t="s">
        <v>113</v>
      </c>
      <c r="C14" s="5" t="s">
        <v>114</v>
      </c>
      <c r="D14" s="5" t="s">
        <v>384</v>
      </c>
    </row>
    <row r="15" spans="1:4" ht="36" customHeight="1" x14ac:dyDescent="0.25">
      <c r="A15" s="5">
        <v>10</v>
      </c>
      <c r="B15" s="5" t="s">
        <v>119</v>
      </c>
      <c r="C15" s="5" t="s">
        <v>120</v>
      </c>
      <c r="D15" s="5" t="s">
        <v>394</v>
      </c>
    </row>
    <row r="16" spans="1:4" ht="36" customHeight="1" x14ac:dyDescent="0.25">
      <c r="A16" s="5">
        <v>11</v>
      </c>
      <c r="B16" s="5" t="s">
        <v>129</v>
      </c>
      <c r="C16" s="5" t="s">
        <v>130</v>
      </c>
      <c r="D16" s="5" t="s">
        <v>405</v>
      </c>
    </row>
    <row r="17" spans="1:4" ht="36" customHeight="1" x14ac:dyDescent="0.25">
      <c r="A17" s="5">
        <v>12</v>
      </c>
      <c r="B17" s="5" t="s">
        <v>139</v>
      </c>
      <c r="C17" s="5" t="s">
        <v>140</v>
      </c>
      <c r="D17" s="5" t="s">
        <v>415</v>
      </c>
    </row>
    <row r="18" spans="1:4" ht="36" customHeight="1" x14ac:dyDescent="0.25">
      <c r="A18" s="5">
        <v>13</v>
      </c>
      <c r="B18" s="5" t="s">
        <v>146</v>
      </c>
      <c r="C18" s="5" t="s">
        <v>147</v>
      </c>
      <c r="D18" s="5" t="s">
        <v>425</v>
      </c>
    </row>
    <row r="19" spans="1:4" ht="36" customHeight="1" x14ac:dyDescent="0.25">
      <c r="A19" s="5">
        <v>14</v>
      </c>
      <c r="B19" s="5" t="s">
        <v>154</v>
      </c>
      <c r="C19" s="5" t="s">
        <v>155</v>
      </c>
      <c r="D19" s="5" t="s">
        <v>436</v>
      </c>
    </row>
    <row r="20" spans="1:4" ht="36" customHeight="1" x14ac:dyDescent="0.25">
      <c r="A20" s="5">
        <v>15</v>
      </c>
      <c r="B20" s="5" t="s">
        <v>164</v>
      </c>
      <c r="C20" s="5" t="s">
        <v>165</v>
      </c>
      <c r="D20" s="5" t="s">
        <v>445</v>
      </c>
    </row>
    <row r="21" spans="1:4" ht="36" customHeight="1" x14ac:dyDescent="0.25">
      <c r="A21" s="5">
        <v>16</v>
      </c>
      <c r="B21" s="5" t="s">
        <v>172</v>
      </c>
      <c r="C21" s="5" t="s">
        <v>173</v>
      </c>
      <c r="D21" s="5" t="s">
        <v>455</v>
      </c>
    </row>
    <row r="22" spans="1:4" ht="36" customHeight="1" x14ac:dyDescent="0.25">
      <c r="A22" s="5">
        <v>17</v>
      </c>
      <c r="B22" s="5" t="s">
        <v>181</v>
      </c>
      <c r="C22" s="5" t="s">
        <v>182</v>
      </c>
      <c r="D22" s="5" t="s">
        <v>465</v>
      </c>
    </row>
    <row r="23" spans="1:4" ht="36" customHeight="1" x14ac:dyDescent="0.25">
      <c r="A23" s="5">
        <v>18</v>
      </c>
      <c r="B23" s="5" t="s">
        <v>190</v>
      </c>
      <c r="C23" s="5" t="s">
        <v>191</v>
      </c>
      <c r="D23" s="5" t="s">
        <v>476</v>
      </c>
    </row>
    <row r="24" spans="1:4" ht="36" customHeight="1" x14ac:dyDescent="0.25">
      <c r="A24" s="5">
        <v>19</v>
      </c>
      <c r="B24" s="5" t="s">
        <v>197</v>
      </c>
      <c r="C24" s="5" t="s">
        <v>198</v>
      </c>
      <c r="D24" s="5" t="s">
        <v>487</v>
      </c>
    </row>
    <row r="25" spans="1:4" ht="36" customHeight="1" x14ac:dyDescent="0.25">
      <c r="A25" s="5">
        <v>20</v>
      </c>
      <c r="B25" s="5" t="s">
        <v>206</v>
      </c>
      <c r="C25" s="5" t="s">
        <v>207</v>
      </c>
      <c r="D25" s="5" t="s">
        <v>497</v>
      </c>
    </row>
    <row r="27" spans="1:4" ht="24" customHeight="1" x14ac:dyDescent="0.25">
      <c r="A27" s="1" t="s">
        <v>554</v>
      </c>
      <c r="B27" s="1"/>
      <c r="C27" s="1"/>
      <c r="D27" s="1"/>
    </row>
    <row r="28" spans="1:4" ht="21.75" customHeight="1" x14ac:dyDescent="0.25">
      <c r="A28" s="6" t="s">
        <v>552</v>
      </c>
      <c r="B28" s="6" t="s">
        <v>19</v>
      </c>
      <c r="C28" s="6" t="s">
        <v>20</v>
      </c>
      <c r="D28" s="6" t="s">
        <v>553</v>
      </c>
    </row>
    <row r="29" spans="1:4" ht="36" customHeight="1" x14ac:dyDescent="0.25">
      <c r="A29" s="5">
        <v>21</v>
      </c>
      <c r="B29" s="5" t="s">
        <v>215</v>
      </c>
      <c r="C29" s="5" t="s">
        <v>216</v>
      </c>
      <c r="D29" s="5" t="s">
        <v>507</v>
      </c>
    </row>
    <row r="30" spans="1:4" ht="36" customHeight="1" x14ac:dyDescent="0.25">
      <c r="A30" s="5">
        <v>22</v>
      </c>
      <c r="B30" s="5" t="s">
        <v>223</v>
      </c>
      <c r="C30" s="5" t="s">
        <v>224</v>
      </c>
      <c r="D30" s="5" t="s">
        <v>517</v>
      </c>
    </row>
    <row r="31" spans="1:4" ht="36" customHeight="1" x14ac:dyDescent="0.25">
      <c r="A31" s="5">
        <v>23</v>
      </c>
      <c r="B31" s="5" t="s">
        <v>230</v>
      </c>
      <c r="C31" s="5" t="s">
        <v>231</v>
      </c>
      <c r="D31" s="5" t="s">
        <v>527</v>
      </c>
    </row>
    <row r="32" spans="1:4" ht="36" customHeight="1" x14ac:dyDescent="0.25">
      <c r="A32" s="5">
        <v>24</v>
      </c>
      <c r="B32" s="5" t="s">
        <v>241</v>
      </c>
      <c r="C32" s="5" t="s">
        <v>242</v>
      </c>
      <c r="D32" s="5" t="s">
        <v>537</v>
      </c>
    </row>
    <row r="33" spans="1:4" ht="36" customHeight="1" x14ac:dyDescent="0.25">
      <c r="A33" s="5">
        <v>25</v>
      </c>
      <c r="B33" s="5" t="s">
        <v>251</v>
      </c>
      <c r="C33" s="5" t="s">
        <v>252</v>
      </c>
      <c r="D33" s="5" t="s">
        <v>548</v>
      </c>
    </row>
    <row r="35" spans="1:4" ht="24" customHeight="1" x14ac:dyDescent="0.25">
      <c r="A35" s="1" t="s">
        <v>555</v>
      </c>
      <c r="B35" s="1"/>
      <c r="C35" s="1"/>
      <c r="D35" s="1"/>
    </row>
    <row r="36" spans="1:4" ht="21.75" customHeight="1" x14ac:dyDescent="0.25">
      <c r="A36" s="6" t="s">
        <v>552</v>
      </c>
      <c r="B36" s="6" t="s">
        <v>19</v>
      </c>
      <c r="C36" s="6" t="s">
        <v>20</v>
      </c>
      <c r="D36" s="6" t="s">
        <v>553</v>
      </c>
    </row>
    <row r="37" spans="1:4" ht="36" customHeight="1" x14ac:dyDescent="0.25">
      <c r="A37" s="5" t="s">
        <v>556</v>
      </c>
      <c r="B37" s="5" t="s">
        <v>557</v>
      </c>
      <c r="C37" s="5" t="s">
        <v>558</v>
      </c>
      <c r="D37" s="5" t="s">
        <v>559</v>
      </c>
    </row>
    <row r="38" spans="1:4" ht="36" customHeight="1" x14ac:dyDescent="0.25">
      <c r="A38" s="5" t="s">
        <v>556</v>
      </c>
      <c r="B38" s="5" t="s">
        <v>560</v>
      </c>
      <c r="C38" s="5" t="s">
        <v>561</v>
      </c>
      <c r="D38" s="5" t="s">
        <v>559</v>
      </c>
    </row>
    <row r="39" spans="1:4" ht="36" customHeight="1" x14ac:dyDescent="0.25">
      <c r="A39" s="5" t="s">
        <v>556</v>
      </c>
      <c r="B39" s="5" t="s">
        <v>562</v>
      </c>
      <c r="C39" s="5" t="s">
        <v>563</v>
      </c>
      <c r="D39" s="5" t="s">
        <v>559</v>
      </c>
    </row>
    <row r="40" spans="1:4" ht="36" customHeight="1" x14ac:dyDescent="0.25">
      <c r="A40" s="5" t="s">
        <v>556</v>
      </c>
      <c r="B40" s="5" t="s">
        <v>564</v>
      </c>
      <c r="C40" s="5" t="s">
        <v>565</v>
      </c>
      <c r="D40" s="5" t="s">
        <v>566</v>
      </c>
    </row>
    <row r="41" spans="1:4" ht="36" customHeight="1" x14ac:dyDescent="0.25">
      <c r="A41" s="5" t="s">
        <v>556</v>
      </c>
      <c r="B41" s="5" t="s">
        <v>567</v>
      </c>
      <c r="C41" s="5" t="s">
        <v>565</v>
      </c>
      <c r="D41" s="5" t="s">
        <v>568</v>
      </c>
    </row>
    <row r="43" spans="1:4" ht="24" customHeight="1" x14ac:dyDescent="0.25">
      <c r="A43" s="1" t="s">
        <v>569</v>
      </c>
      <c r="B43" s="1"/>
      <c r="C43" s="1"/>
      <c r="D43" s="1"/>
    </row>
    <row r="44" spans="1:4" ht="21.75" customHeight="1" x14ac:dyDescent="0.25">
      <c r="A44" s="6" t="s">
        <v>552</v>
      </c>
      <c r="B44" s="6" t="s">
        <v>19</v>
      </c>
      <c r="C44" s="6" t="s">
        <v>20</v>
      </c>
      <c r="D44" s="6" t="s">
        <v>553</v>
      </c>
    </row>
    <row r="45" spans="1:4" ht="36" customHeight="1" x14ac:dyDescent="0.25">
      <c r="A45" s="5">
        <v>4</v>
      </c>
      <c r="B45" s="5" t="s">
        <v>570</v>
      </c>
      <c r="C45" s="5" t="s">
        <v>71</v>
      </c>
      <c r="D45" s="5" t="s">
        <v>571</v>
      </c>
    </row>
    <row r="46" spans="1:4" ht="36" customHeight="1" x14ac:dyDescent="0.25">
      <c r="A46" s="5">
        <v>14</v>
      </c>
      <c r="B46" s="5" t="s">
        <v>154</v>
      </c>
      <c r="C46" s="5" t="s">
        <v>155</v>
      </c>
      <c r="D46" s="5" t="s">
        <v>572</v>
      </c>
    </row>
    <row r="47" spans="1:4" ht="36" customHeight="1" x14ac:dyDescent="0.25">
      <c r="A47" s="5">
        <v>11</v>
      </c>
      <c r="B47" s="5" t="s">
        <v>129</v>
      </c>
      <c r="C47" s="5" t="s">
        <v>130</v>
      </c>
      <c r="D47" s="5" t="s">
        <v>573</v>
      </c>
    </row>
    <row r="48" spans="1:4" ht="36" customHeight="1" x14ac:dyDescent="0.25">
      <c r="A48" s="5">
        <v>6</v>
      </c>
      <c r="B48" s="5" t="s">
        <v>574</v>
      </c>
      <c r="C48" s="5" t="s">
        <v>89</v>
      </c>
      <c r="D48" s="5" t="s">
        <v>575</v>
      </c>
    </row>
    <row r="49" spans="1:4" ht="36" customHeight="1" x14ac:dyDescent="0.25">
      <c r="A49" s="5">
        <v>13</v>
      </c>
      <c r="B49" s="5" t="s">
        <v>576</v>
      </c>
      <c r="C49" s="5" t="s">
        <v>147</v>
      </c>
      <c r="D49" s="5" t="s">
        <v>577</v>
      </c>
    </row>
    <row r="51" spans="1:4" ht="24" customHeight="1" x14ac:dyDescent="0.25">
      <c r="A51" s="1" t="s">
        <v>578</v>
      </c>
      <c r="B51" s="1"/>
      <c r="C51" s="1"/>
      <c r="D51" s="1"/>
    </row>
    <row r="52" spans="1:4" ht="21.75" customHeight="1" x14ac:dyDescent="0.25">
      <c r="A52" s="6" t="s">
        <v>552</v>
      </c>
      <c r="B52" s="6" t="s">
        <v>19</v>
      </c>
      <c r="C52" s="6" t="s">
        <v>20</v>
      </c>
      <c r="D52" s="6" t="s">
        <v>553</v>
      </c>
    </row>
    <row r="53" spans="1:4" ht="36" customHeight="1" x14ac:dyDescent="0.25">
      <c r="A53" s="5">
        <v>4</v>
      </c>
      <c r="B53" s="5" t="s">
        <v>570</v>
      </c>
      <c r="C53" s="5" t="s">
        <v>71</v>
      </c>
      <c r="D53" s="5" t="s">
        <v>579</v>
      </c>
    </row>
    <row r="54" spans="1:4" ht="36" customHeight="1" x14ac:dyDescent="0.25">
      <c r="A54" s="5">
        <v>14</v>
      </c>
      <c r="B54" s="5" t="s">
        <v>154</v>
      </c>
      <c r="C54" s="5" t="s">
        <v>155</v>
      </c>
      <c r="D54" s="5" t="s">
        <v>580</v>
      </c>
    </row>
    <row r="55" spans="1:4" ht="36" customHeight="1" x14ac:dyDescent="0.25">
      <c r="A55" s="5">
        <v>10</v>
      </c>
      <c r="B55" s="5" t="s">
        <v>581</v>
      </c>
      <c r="C55" s="5" t="s">
        <v>120</v>
      </c>
      <c r="D55" s="5" t="s">
        <v>582</v>
      </c>
    </row>
    <row r="56" spans="1:4" ht="36" customHeight="1" x14ac:dyDescent="0.25">
      <c r="A56" s="5">
        <v>6</v>
      </c>
      <c r="B56" s="5" t="s">
        <v>574</v>
      </c>
      <c r="C56" s="5" t="s">
        <v>89</v>
      </c>
      <c r="D56" s="5" t="s">
        <v>583</v>
      </c>
    </row>
    <row r="57" spans="1:4" ht="36" customHeight="1" x14ac:dyDescent="0.25">
      <c r="A57" s="5">
        <v>17</v>
      </c>
      <c r="B57" s="5" t="s">
        <v>181</v>
      </c>
      <c r="C57" s="5" t="s">
        <v>182</v>
      </c>
      <c r="D57" s="5" t="s">
        <v>584</v>
      </c>
    </row>
    <row r="59" spans="1:4" ht="24" customHeight="1" x14ac:dyDescent="0.25">
      <c r="A59" s="1" t="s">
        <v>585</v>
      </c>
      <c r="B59" s="1"/>
      <c r="C59" s="1"/>
      <c r="D59" s="1"/>
    </row>
    <row r="60" spans="1:4" ht="21.75" customHeight="1" x14ac:dyDescent="0.25">
      <c r="A60" s="6" t="s">
        <v>552</v>
      </c>
      <c r="B60" s="6" t="s">
        <v>19</v>
      </c>
      <c r="C60" s="6" t="s">
        <v>20</v>
      </c>
      <c r="D60" s="6" t="s">
        <v>553</v>
      </c>
    </row>
    <row r="61" spans="1:4" ht="36" customHeight="1" x14ac:dyDescent="0.25">
      <c r="A61" s="5">
        <v>13</v>
      </c>
      <c r="B61" s="5" t="s">
        <v>576</v>
      </c>
      <c r="C61" s="5" t="s">
        <v>147</v>
      </c>
      <c r="D61" s="5" t="s">
        <v>586</v>
      </c>
    </row>
    <row r="62" spans="1:4" ht="36" customHeight="1" x14ac:dyDescent="0.25">
      <c r="A62" s="5">
        <v>4</v>
      </c>
      <c r="B62" s="5" t="s">
        <v>570</v>
      </c>
      <c r="C62" s="5" t="s">
        <v>71</v>
      </c>
      <c r="D62" s="5" t="s">
        <v>587</v>
      </c>
    </row>
    <row r="63" spans="1:4" ht="36" customHeight="1" x14ac:dyDescent="0.25">
      <c r="A63" s="5">
        <v>12</v>
      </c>
      <c r="B63" s="5" t="s">
        <v>588</v>
      </c>
      <c r="C63" s="5" t="s">
        <v>140</v>
      </c>
      <c r="D63" s="5" t="s">
        <v>589</v>
      </c>
    </row>
    <row r="64" spans="1:4" ht="36" customHeight="1" x14ac:dyDescent="0.25">
      <c r="A64" s="5">
        <v>17</v>
      </c>
      <c r="B64" s="5" t="s">
        <v>181</v>
      </c>
      <c r="C64" s="5" t="s">
        <v>182</v>
      </c>
      <c r="D64" s="5" t="s">
        <v>590</v>
      </c>
    </row>
    <row r="65" spans="1:4" ht="36" customHeight="1" x14ac:dyDescent="0.25">
      <c r="A65" s="5">
        <v>10</v>
      </c>
      <c r="B65" s="5" t="s">
        <v>581</v>
      </c>
      <c r="C65" s="5" t="s">
        <v>120</v>
      </c>
      <c r="D65" s="5" t="s">
        <v>591</v>
      </c>
    </row>
  </sheetData>
  <mergeCells count="6">
    <mergeCell ref="A59:D59"/>
    <mergeCell ref="A4:D4"/>
    <mergeCell ref="A27:D27"/>
    <mergeCell ref="A35:D35"/>
    <mergeCell ref="A43:D43"/>
    <mergeCell ref="A51:D5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Master Comparison</vt:lpstr>
      <vt:lpstr>Scoring Detail</vt:lpstr>
      <vt:lpstr>Hotel Profiles</vt:lpstr>
      <vt:lpstr>Final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steviafinca com</cp:lastModifiedBy>
  <cp:revision>0</cp:revision>
  <dcterms:created xsi:type="dcterms:W3CDTF">2026-05-30T11:31:58Z</dcterms:created>
  <dcterms:modified xsi:type="dcterms:W3CDTF">2026-05-30T11:42:19Z</dcterms:modified>
  <dc:language>en-US</dc:language>
</cp:coreProperties>
</file>