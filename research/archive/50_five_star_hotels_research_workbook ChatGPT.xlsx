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f1ff4057b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bfff8174308480e"/>
    <x:sheet xmlns:r="http://schemas.openxmlformats.org/officeDocument/2006/relationships" name="Candidate Pool" sheetId="2" r:id="R155695ba79c7444f"/>
    <x:sheet xmlns:r="http://schemas.openxmlformats.org/officeDocument/2006/relationships" name="Dropdown Lists" sheetId="3" r:id="Rae53470f0a0847a6"/>
    <x:sheet xmlns:r="http://schemas.openxmlformats.org/officeDocument/2006/relationships" name="Scoring Guide" sheetId="4" r:id="Rfa69ecdff67d47cc"/>
    <x:sheet xmlns:r="http://schemas.openxmlformats.org/officeDocument/2006/relationships" name="Master Comparison" sheetId="5" r:id="R5cb0fa856af04b33"/>
    <x:sheet xmlns:r="http://schemas.openxmlformats.org/officeDocument/2006/relationships" name="Hotel Profiles" sheetId="6" r:id="R37caddccb9294512"/>
    <x:sheet xmlns:r="http://schemas.openxmlformats.org/officeDocument/2006/relationships" name="Source Tracker" sheetId="7" r:id="R5300ae522ae84014"/>
    <x:sheet xmlns:r="http://schemas.openxmlformats.org/officeDocument/2006/relationships" name="Final Recommendations" sheetId="8" r:id="R4bf04d062c764c00"/>
    <x:sheet xmlns:r="http://schemas.openxmlformats.org/officeDocument/2006/relationships" name="Research Checklist" sheetId="9" r:id="R40c833f75f39483e"/>
    <x:sheet xmlns:r="http://schemas.openxmlformats.org/officeDocument/2006/relationships" name="Dashboard" sheetId="10" r:id="R516582c426ca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2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2433"/>
      </x:patternFill>
    </x:fill>
    <x:fill>
      <x:patternFill patternType="solid">
        <x:fgColor rgb="B88A44"/>
      </x:patternFill>
    </x:fill>
    <x:fill>
      <x:patternFill patternType="solid">
        <x:fgColor rgb="58745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2023db3784679" /><Relationship Type="http://schemas.openxmlformats.org/officeDocument/2006/relationships/theme" Target="/xl/theme/theme1.xml" Id="Rda7e762145ae43b7" /><Relationship Type="http://schemas.openxmlformats.org/officeDocument/2006/relationships/sharedStrings" Target="/xl/sharedStrings.xml" Id="R1a4d39e3de0c46ab" /><Relationship Type="http://schemas.openxmlformats.org/officeDocument/2006/relationships/worksheet" Target="/xl/worksheets/sheet1.xml" Id="R7bfff8174308480e" /><Relationship Type="http://schemas.openxmlformats.org/officeDocument/2006/relationships/worksheet" Target="/xl/worksheets/sheet2.xml" Id="R155695ba79c7444f" /><Relationship Type="http://schemas.openxmlformats.org/officeDocument/2006/relationships/worksheet" Target="/xl/worksheets/sheet3.xml" Id="Rae53470f0a0847a6" /><Relationship Type="http://schemas.openxmlformats.org/officeDocument/2006/relationships/worksheet" Target="/xl/worksheets/sheet4.xml" Id="Rfa69ecdff67d47cc" /><Relationship Type="http://schemas.openxmlformats.org/officeDocument/2006/relationships/worksheet" Target="/xl/worksheets/sheet5.xml" Id="R5cb0fa856af04b33" /><Relationship Type="http://schemas.openxmlformats.org/officeDocument/2006/relationships/worksheet" Target="/xl/worksheets/sheet6.xml" Id="R37caddccb9294512" /><Relationship Type="http://schemas.openxmlformats.org/officeDocument/2006/relationships/worksheet" Target="/xl/worksheets/sheet7.xml" Id="R5300ae522ae84014" /><Relationship Type="http://schemas.openxmlformats.org/officeDocument/2006/relationships/worksheet" Target="/xl/worksheets/sheet8.xml" Id="R4bf04d062c764c00" /><Relationship Type="http://schemas.openxmlformats.org/officeDocument/2006/relationships/worksheet" Target="/xl/worksheets/sheet9.xml" Id="R40c833f75f39483e" /><Relationship Type="http://schemas.openxmlformats.org/officeDocument/2006/relationships/worksheet" Target="/xl/worksheets/sheet10.xml" Id="R516582c426ca4068" /></Relationships>
</file>

<file path=xl/tables/table1.xml><?xml version="1.0" encoding="utf-8"?>
<x:table xmlns:x="http://schemas.openxmlformats.org/spreadsheetml/2006/main" id="1" name="CandidatePool" displayName="CandidatePool" ref="A1:I26" headerRowCount="1">
  <x:tableColumns count="9">
    <x:tableColumn id="1" name="Candidate #"/>
    <x:tableColumn id="2" name="Hotel"/>
    <x:tableColumn id="3" name="City"/>
    <x:tableColumn id="4" name="Country"/>
    <x:tableColumn id="5" name="Region"/>
    <x:tableColumn id="6" name="Reason / source priority"/>
    <x:tableColumn id="7" name="Required priority"/>
    <x:tableColumn id="8" name="Initial status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sterComparison" displayName="MasterComparison" ref="A1:Z26" headerRowCount="1">
  <x:tableColumns count="26">
    <x:tableColumn id="1" name="Rank"/>
    <x:tableColumn id="2" name="Hotel"/>
    <x:tableColumn id="3" name="City"/>
    <x:tableColumn id="4" name="Country"/>
    <x:tableColumn id="5" name="Region"/>
    <x:tableColumn id="6" name="Budget tier"/>
    <x:tableColumn id="7" name="Typical price range"/>
    <x:tableColumn id="8" name="Claimed star rating"/>
    <x:tableColumn id="9" name="Review score"/>
    <x:tableColumn id="10" name="Hotel type"/>
    <x:tableColumn id="11" name="Five-star status"/>
    <x:tableColumn id="12" name="Best nearby attraction"/>
    <x:tableColumn id="13" name="Best food/restaurant angle"/>
    <x:tableColumn id="14" name="Main caution"/>
    <x:tableColumn id="15" name="Price/value score /25"/>
    <x:tableColumn id="16" name="Character score /20"/>
    <x:tableColumn id="17" name="Review score /15"/>
    <x:tableColumn id="18" name="Location score /15"/>
    <x:tableColumn id="19" name="Experiences score /15"/>
    <x:tableColumn id="20" name="Risk score /10"/>
    <x:tableColumn id="21" name="Value score"/>
    <x:tableColumn id="22" name="Verdict"/>
    <x:tableColumn id="23" name="Recommended for first website batch?"/>
    <x:tableColumn id="24" name="Affiliate suitability"/>
    <x:tableColumn id="25" name="Research status"/>
    <x:tableColumn id="26" name="Key source URLs"/>
  </x:tableColumns>
  <x:tableStyleInfo name="TableStyleMedium2" showRowStripes="1"/>
</x:table>
</file>

<file path=xl/tables/table3.xml><?xml version="1.0" encoding="utf-8"?>
<x:table xmlns:x="http://schemas.openxmlformats.org/spreadsheetml/2006/main" id="3" name="HotelProfiles" displayName="HotelProfiles" ref="A1:P26" headerRowCount="1">
  <x:tableColumns count="16">
    <x:tableColumn id="1" name="Profile #"/>
    <x:tableColumn id="2" name="Hotel"/>
    <x:tableColumn id="3" name="City, Country"/>
    <x:tableColumn id="4" name="Budget tier"/>
    <x:tableColumn id="5" name="Hotel type"/>
    <x:tableColumn id="6" name="Five-star status"/>
    <x:tableColumn id="7" name="Best for"/>
    <x:tableColumn id="8" name="Why it is interesting"/>
    <x:tableColumn id="9" name="Why it is good value"/>
    <x:tableColumn id="10" name="Price notes"/>
    <x:tableColumn id="11" name="Location and nearby sights"/>
    <x:tableColumn id="12" name="Food and things to do nearby"/>
    <x:tableColumn id="13" name="Best time to book"/>
    <x:tableColumn id="14" name="Watch out for"/>
    <x:tableColumn id="15" name="Verdict / one-sentence conclusion"/>
    <x:tableColumn id="16" name="Primary source URLs"/>
  </x:tableColumns>
  <x:tableStyleInfo name="TableStyleMedium2" showRowStripes="1"/>
</x:table>
</file>

<file path=xl/tables/table4.xml><?xml version="1.0" encoding="utf-8"?>
<x:table xmlns:x="http://schemas.openxmlformats.org/spreadsheetml/2006/main" id="4" name="SourceTracker" displayName="SourceTracker" ref="A1:H126" headerRowCount="1">
  <x:tableColumns count="8">
    <x:tableColumn id="1" name="Hotel"/>
    <x:tableColumn id="2" name="Source type"/>
    <x:tableColumn id="3" name="Platform / source"/>
    <x:tableColumn id="4" name="URL"/>
    <x:tableColumn id="5" name="Date checked"/>
    <x:tableColumn id="6" name="Observed claim / data point"/>
    <x:tableColumn id="7" name="Notes"/>
    <x:tableColumn id="8" name="Needs re-check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36d4ad86e64c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bb4af5850cb43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8f6b469d69643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11d6dd5809141b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0" t="str">
        <x:v>50 Five-Star Hotels — Research Workbook</x:v>
      </x:c>
      <x:c r="B1" s="10"/>
    </x:row>
    <x:row r="2">
      <x:c r="A2" s="11" t="str"/>
      <x:c r="B2" s="11"/>
    </x:row>
    <x:row r="3">
      <x:c r="A3" s="12" t="str">
        <x:v>Purpose</x:v>
      </x:c>
      <x:c r="B3" s="11" t="str">
        <x:v>Research the first 20 affordable five-star / near-five-star hotel candidates for the 50 Five-Star Hotels website.</x:v>
      </x:c>
    </x:row>
    <x:row r="4">
      <x:c r="A4" s="12" t="str">
        <x:v>Positioning</x:v>
      </x:c>
      <x:c r="B4" s="11" t="str">
        <x:v>Five-star hotels without five-star prices.</x:v>
      </x:c>
    </x:row>
    <x:row r="5">
      <x:c r="A5" s="12" t="str">
        <x:v>Editorial standard</x:v>
      </x:c>
      <x:c r="B5" s="11" t="str">
        <x:v>Include hotels where price, place, and experience combine into a compelling travel idea.</x:v>
      </x:c>
    </x:row>
    <x:row r="6">
      <x:c r="A6" s="12" t="str">
        <x:v>Budget tiers</x:v>
      </x:c>
      <x:c r="B6" s="11" t="str">
        <x:v>Under €100 = exceptional budget luxury; Under €200 = affordable indulgence; Under €250 = smart splurge.</x:v>
      </x:c>
    </x:row>
    <x:row r="7">
      <x:c r="A7" s="12" t="str">
        <x:v>Important distinction</x:v>
      </x:c>
      <x:c r="B7" s="11" t="str">
        <x:v>Separate true international five-star hotels from local/booking-site five-star properties.</x:v>
      </x:c>
    </x:row>
    <x:row r="8">
      <x:c r="A8" s="12" t="str">
        <x:v>Research principle</x:v>
      </x:c>
      <x:c r="B8" s="11" t="str">
        <x:v>Avoid fixed price claims. Use wording such as often available, regularly seen, commonly appears, seen from, best checked midweek.</x:v>
      </x:c>
    </x:row>
    <x:row r="9">
      <x:c r="A9" s="12" t="str">
        <x:v>Core outputs</x:v>
      </x:c>
      <x:c r="B9" s="11" t="str">
        <x:v>Master comparison table; individual hotel notes; final recommended 20; backup hotels; rejected hotels; homepage/social/SEO picks.</x:v>
      </x:c>
    </x:row>
    <x:row r="10">
      <x:c r="A10" s="12" t="str"/>
      <x:c r="B10" s="11"/>
    </x:row>
    <x:row r="11">
      <x:c r="A11" s="12" t="str">
        <x:v>Workbook tabs</x:v>
      </x:c>
      <x:c r="B11" s="11"/>
    </x:row>
    <x:row r="12">
      <x:c r="A12" s="12" t="str">
        <x:v>Master Comparison</x:v>
      </x:c>
      <x:c r="B12" s="11" t="str">
        <x:v>Main research table with scoring and verdict formulas.</x:v>
      </x:c>
    </x:row>
    <x:row r="13">
      <x:c r="A13" s="12" t="str">
        <x:v>Hotel Profiles</x:v>
      </x:c>
      <x:c r="B13" s="11" t="str">
        <x:v>Long-form editorial notes for each hotel using the required profile structure.</x:v>
      </x:c>
    </x:row>
    <x:row r="14">
      <x:c r="A14" s="12" t="str">
        <x:v>Candidate Pool</x:v>
      </x:c>
      <x:c r="B14" s="11" t="str">
        <x:v>Initial candidate list from the brief and attachment.</x:v>
      </x:c>
    </x:row>
    <x:row r="15">
      <x:c r="A15" s="12" t="str">
        <x:v>Final Recommendations</x:v>
      </x:c>
      <x:c r="B15" s="11" t="str">
        <x:v>Top 20, backups, rejects, homepage picks, social picks, SEO city-page picks.</x:v>
      </x:c>
    </x:row>
    <x:row r="16">
      <x:c r="A16" s="12" t="str">
        <x:v>Scoring Guide</x:v>
      </x:c>
      <x:c r="B16" s="11" t="str">
        <x:v>Weights, labels, and editorial classification definitions.</x:v>
      </x:c>
    </x:row>
    <x:row r="17">
      <x:c r="A17" s="12" t="str">
        <x:v>Dropdown Lists</x:v>
      </x:c>
      <x:c r="B17" s="11" t="str">
        <x:v>Controlled vocabulary for consistent research entry.</x:v>
      </x:c>
    </x:row>
    <x:row r="18">
      <x:c r="A18" s="12" t="str">
        <x:v>Source Tracker</x:v>
      </x:c>
      <x:c r="B18" s="11" t="str">
        <x:v>URL/source tracking for price, review, star rating, and nearby-experience claims.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22" hidden="0" customWidth="1"/>
    <x:col min="5" max="5" width="20" hidden="0" customWidth="1"/>
    <x:col min="6" max="6" width="42" hidden="0" customWidth="1"/>
    <x:col min="7" max="7" width="18" hidden="0" customWidth="1"/>
    <x:col min="8" max="8" width="14" hidden="0" customWidth="1"/>
    <x:col min="9" max="9" width="36" hidden="0" customWidth="1"/>
  </x:cols>
  <x:sheetData>
    <x:row r="1">
      <x:c r="A1" s="18" t="str">
        <x:v>Candidate #</x:v>
      </x:c>
      <x:c r="B1" s="18" t="str">
        <x:v>Hotel</x:v>
      </x:c>
      <x:c r="C1" s="18" t="str">
        <x:v>City</x:v>
      </x:c>
      <x:c r="D1" s="18" t="str">
        <x:v>Country</x:v>
      </x:c>
      <x:c r="E1" s="18" t="str">
        <x:v>Region</x:v>
      </x:c>
      <x:c r="F1" s="18" t="str">
        <x:v>Reason / source priority</x:v>
      </x:c>
      <x:c r="G1" s="18" t="str">
        <x:v>Required priority</x:v>
      </x:c>
      <x:c r="H1" s="18" t="str">
        <x:v>Initial status</x:v>
      </x:c>
      <x:c r="I1" s="18" t="str">
        <x:v>Notes</x:v>
      </x:c>
    </x:row>
    <x:row r="2">
      <x:c r="A2" t="n">
        <x:v>1</x:v>
      </x:c>
      <x:c r="B2" t="str">
        <x:v>Angkor Aurora</x:v>
      </x:c>
      <x:c r="C2" t="str">
        <x:v>Siem Reap</x:v>
      </x:c>
      <x:c r="D2" t="str">
        <x:v>Cambodia</x:v>
      </x:c>
      <x:c r="E2" t="str">
        <x:v>SE Asia</x:v>
      </x:c>
      <x:c r="F2" t="str">
        <x:v>Required; attached list; Angkor Wat angle</x:v>
      </x:c>
      <x:c r="G2" t="str">
        <x:v>Must evaluate</x:v>
      </x:c>
      <x:c r="H2" t="str">
        <x:v>Research</x:v>
      </x:c>
      <x:c r="I2" t="str"/>
    </x:row>
    <x:row r="3">
      <x:c r="A3" t="n">
        <x:v>2</x:v>
      </x:c>
      <x:c r="B3" t="str">
        <x:v>Malak Regency Hotel</x:v>
      </x:c>
      <x:c r="C3" t="str">
        <x:v>Sarajevo</x:v>
      </x:c>
      <x:c r="D3" t="str">
        <x:v>Bosnia and Herzegovina</x:v>
      </x:c>
      <x:c r="E3" t="str">
        <x:v>Europe / Balkans</x:v>
      </x:c>
      <x:c r="F3" t="str">
        <x:v>Required; added by user</x:v>
      </x:c>
      <x:c r="G3" t="str">
        <x:v>Must evaluate</x:v>
      </x:c>
      <x:c r="H3" t="str">
        <x:v>Research</x:v>
      </x:c>
      <x:c r="I3" t="str"/>
    </x:row>
    <x:row r="4">
      <x:c r="A4" t="n">
        <x:v>3</x:v>
      </x:c>
      <x:c r="B4" t="str">
        <x:v>Meliá Yangon</x:v>
      </x:c>
      <x:c r="C4" t="str">
        <x:v>Yangon</x:v>
      </x:c>
      <x:c r="D4" t="str">
        <x:v>Myanmar</x:v>
      </x:c>
      <x:c r="E4" t="str">
        <x:v>SE Asia</x:v>
      </x:c>
      <x:c r="F4" t="str">
        <x:v>Required; added by user</x:v>
      </x:c>
      <x:c r="G4" t="str">
        <x:v>Must evaluate</x:v>
      </x:c>
      <x:c r="H4" t="str">
        <x:v>Research</x:v>
      </x:c>
      <x:c r="I4" t="str"/>
    </x:row>
    <x:row r="5">
      <x:c r="A5" t="n">
        <x:v>4</x:v>
      </x:c>
      <x:c r="B5" t="str">
        <x:v>The Raweekanlaya Bangkok Wellness Cuisine Resort</x:v>
      </x:c>
      <x:c r="C5" t="str">
        <x:v>Bangkok</x:v>
      </x:c>
      <x:c r="D5" t="str">
        <x:v>Thailand</x:v>
      </x:c>
      <x:c r="E5" t="str">
        <x:v>SE Asia</x:v>
      </x:c>
      <x:c r="F5" t="str">
        <x:v>Heritage/wellness angle</x:v>
      </x:c>
      <x:c r="G5" t="str">
        <x:v>Strong candidate</x:v>
      </x:c>
      <x:c r="H5" t="str">
        <x:v>Research</x:v>
      </x:c>
      <x:c r="I5" t="str"/>
    </x:row>
    <x:row r="6">
      <x:c r="A6" t="n">
        <x:v>5</x:v>
      </x:c>
      <x:c r="B6" t="str">
        <x:v>Hotel Majapahit Surabaya – MGallery</x:v>
      </x:c>
      <x:c r="C6" t="str">
        <x:v>Surabaya</x:v>
      </x:c>
      <x:c r="D6" t="str">
        <x:v>Indonesia</x:v>
      </x:c>
      <x:c r="E6" t="str">
        <x:v>SE Asia</x:v>
      </x:c>
      <x:c r="F6" t="str">
        <x:v>Strong heritage hotel</x:v>
      </x:c>
      <x:c r="G6" t="str">
        <x:v>Strong candidate</x:v>
      </x:c>
      <x:c r="H6" t="str">
        <x:v>Research</x:v>
      </x:c>
      <x:c r="I6" t="str"/>
    </x:row>
    <x:row r="7">
      <x:c r="A7" t="n">
        <x:v>6</x:v>
      </x:c>
      <x:c r="B7" t="str">
        <x:v>The Phoenix Hotel Yogyakarta – Handwritten Collection</x:v>
      </x:c>
      <x:c r="C7" t="str">
        <x:v>Yogyakarta</x:v>
      </x:c>
      <x:c r="D7" t="str">
        <x:v>Indonesia</x:v>
      </x:c>
      <x:c r="E7" t="str">
        <x:v>SE Asia</x:v>
      </x:c>
      <x:c r="F7" t="str">
        <x:v>Strong character/value</x:v>
      </x:c>
      <x:c r="G7" t="str">
        <x:v>Strong candidate</x:v>
      </x:c>
      <x:c r="H7" t="str">
        <x:v>Research</x:v>
      </x:c>
      <x:c r="I7" t="str"/>
    </x:row>
    <x:row r="8">
      <x:c r="A8" t="n">
        <x:v>7</x:v>
      </x:c>
      <x:c r="B8" t="str">
        <x:v>The Royal Surakarta Heritage – Handwritten Collection</x:v>
      </x:c>
      <x:c r="C8" t="str">
        <x:v>Solo</x:v>
      </x:c>
      <x:c r="D8" t="str">
        <x:v>Indonesia</x:v>
      </x:c>
      <x:c r="E8" t="str">
        <x:v>SE Asia</x:v>
      </x:c>
      <x:c r="F8" t="str">
        <x:v>Heritage interiors, very low price</x:v>
      </x:c>
      <x:c r="G8" t="str">
        <x:v>Strong candidate</x:v>
      </x:c>
      <x:c r="H8" t="str">
        <x:v>Research</x:v>
      </x:c>
      <x:c r="I8" t="str"/>
    </x:row>
    <x:row r="9">
      <x:c r="A9" t="n">
        <x:v>8</x:v>
      </x:c>
      <x:c r="B9" t="str">
        <x:v>Grand Mercure Medan Angkasa</x:v>
      </x:c>
      <x:c r="C9" t="str">
        <x:v>Medan</x:v>
      </x:c>
      <x:c r="D9" t="str">
        <x:v>Indonesia</x:v>
      </x:c>
      <x:c r="E9" t="str">
        <x:v>SE Asia</x:v>
      </x:c>
      <x:c r="F9" t="str">
        <x:v>Very low price; Sumatra angle</x:v>
      </x:c>
      <x:c r="G9" t="str">
        <x:v>Possible candidate</x:v>
      </x:c>
      <x:c r="H9" t="str">
        <x:v>Research</x:v>
      </x:c>
      <x:c r="I9" t="str"/>
    </x:row>
    <x:row r="10">
      <x:c r="A10" t="n">
        <x:v>9</x:v>
      </x:c>
      <x:c r="B10" t="str">
        <x:v>Boton Blue Hotel &amp; Spa</x:v>
      </x:c>
      <x:c r="C10" t="str">
        <x:v>Nha Trang</x:v>
      </x:c>
      <x:c r="D10" t="str">
        <x:v>Vietnam</x:v>
      </x:c>
      <x:c r="E10" t="str">
        <x:v>SE Asia</x:v>
      </x:c>
      <x:c r="F10" t="str">
        <x:v>Beach/spa value</x:v>
      </x:c>
      <x:c r="G10" t="str">
        <x:v>Possible candidate</x:v>
      </x:c>
      <x:c r="H10" t="str">
        <x:v>Research</x:v>
      </x:c>
      <x:c r="I10" t="str"/>
    </x:row>
    <x:row r="11">
      <x:c r="A11" t="n">
        <x:v>10</x:v>
      </x:c>
      <x:c r="B11" t="str">
        <x:v>Silk Path Hotel</x:v>
      </x:c>
      <x:c r="C11" t="str">
        <x:v>Hue</x:v>
      </x:c>
      <x:c r="D11" t="str">
        <x:v>Vietnam</x:v>
      </x:c>
      <x:c r="E11" t="str">
        <x:v>SE Asia</x:v>
      </x:c>
      <x:c r="F11" t="str">
        <x:v>Imperial city/cultural angle</x:v>
      </x:c>
      <x:c r="G11" t="str">
        <x:v>Possible candidate</x:v>
      </x:c>
      <x:c r="H11" t="str">
        <x:v>Research</x:v>
      </x:c>
      <x:c r="I11" t="str"/>
    </x:row>
    <x:row r="12">
      <x:c r="A12" t="n">
        <x:v>11</x:v>
      </x:c>
      <x:c r="B12" t="str">
        <x:v>Steigenberger Resort Achti</x:v>
      </x:c>
      <x:c r="C12" t="str">
        <x:v>Luxor</x:v>
      </x:c>
      <x:c r="D12" t="str">
        <x:v>Egypt</x:v>
      </x:c>
      <x:c r="E12" t="str">
        <x:v>Middle East / Africa</x:v>
      </x:c>
      <x:c r="F12" t="str">
        <x:v>Nile/Valley of the Kings angle</x:v>
      </x:c>
      <x:c r="G12" t="str">
        <x:v>Possible candidate</x:v>
      </x:c>
      <x:c r="H12" t="str">
        <x:v>Research</x:v>
      </x:c>
      <x:c r="I12" t="str"/>
    </x:row>
    <x:row r="13">
      <x:c r="A13" t="n">
        <x:v>12</x:v>
      </x:c>
      <x:c r="B13" t="str">
        <x:v>Pleiada Boutique Hotel &amp; Spa</x:v>
      </x:c>
      <x:c r="C13" t="str">
        <x:v>Iași</x:v>
      </x:c>
      <x:c r="D13" t="str">
        <x:v>Romania</x:v>
      </x:c>
      <x:c r="E13" t="str">
        <x:v>Europe</x:v>
      </x:c>
      <x:c r="F13" t="str">
        <x:v>Boutique spa value</x:v>
      </x:c>
      <x:c r="G13" t="str">
        <x:v>Strong candidate</x:v>
      </x:c>
      <x:c r="H13" t="str">
        <x:v>Research</x:v>
      </x:c>
      <x:c r="I13" t="str"/>
    </x:row>
    <x:row r="14">
      <x:c r="A14" t="n">
        <x:v>13</x:v>
      </x:c>
      <x:c r="B14" t="str">
        <x:v>I’M Hotel</x:v>
      </x:c>
      <x:c r="C14" t="str">
        <x:v>Makati</x:v>
      </x:c>
      <x:c r="D14" t="str">
        <x:v>Philippines</x:v>
      </x:c>
      <x:c r="E14" t="str">
        <x:v>SE Asia</x:v>
      </x:c>
      <x:c r="F14" t="str">
        <x:v>Urban luxury/value</x:v>
      </x:c>
      <x:c r="G14" t="str">
        <x:v>Possible candidate</x:v>
      </x:c>
      <x:c r="H14" t="str">
        <x:v>Research</x:v>
      </x:c>
      <x:c r="I14" t="str"/>
    </x:row>
    <x:row r="15">
      <x:c r="A15" t="n">
        <x:v>14</x:v>
      </x:c>
      <x:c r="B15" t="str">
        <x:v>NH Collection Bogotá WTC Royal</x:v>
      </x:c>
      <x:c r="C15" t="str">
        <x:v>Bogotá</x:v>
      </x:c>
      <x:c r="D15" t="str">
        <x:v>Colombia</x:v>
      </x:c>
      <x:c r="E15" t="str">
        <x:v>Latin America</x:v>
      </x:c>
      <x:c r="F15" t="str">
        <x:v>Business luxury value</x:v>
      </x:c>
      <x:c r="G15" t="str">
        <x:v>Possible candidate</x:v>
      </x:c>
      <x:c r="H15" t="str">
        <x:v>Research</x:v>
      </x:c>
      <x:c r="I15" t="str"/>
    </x:row>
    <x:row r="16">
      <x:c r="A16" t="n">
        <x:v>15</x:v>
      </x:c>
      <x:c r="B16" t="str">
        <x:v>Novotel Ahmedabad</x:v>
      </x:c>
      <x:c r="C16" t="str">
        <x:v>Ahmedabad</x:v>
      </x:c>
      <x:c r="D16" t="str">
        <x:v>India</x:v>
      </x:c>
      <x:c r="E16" t="str">
        <x:v>South Asia</x:v>
      </x:c>
      <x:c r="F16" t="str">
        <x:v>Cheap five-star business hotel</x:v>
      </x:c>
      <x:c r="G16" t="str">
        <x:v>Possible candidate</x:v>
      </x:c>
      <x:c r="H16" t="str">
        <x:v>Research</x:v>
      </x:c>
      <x:c r="I16" t="str"/>
    </x:row>
    <x:row r="17">
      <x:c r="A17" t="n">
        <x:v>16</x:v>
      </x:c>
      <x:c r="B17" t="str">
        <x:v>Mandarin Colombo</x:v>
      </x:c>
      <x:c r="C17" t="str">
        <x:v>Colombo</x:v>
      </x:c>
      <x:c r="D17" t="str">
        <x:v>Sri Lanka</x:v>
      </x:c>
      <x:c r="E17" t="str">
        <x:v>South Asia</x:v>
      </x:c>
      <x:c r="F17" t="str">
        <x:v>Affordable Sri Lankan luxury angle</x:v>
      </x:c>
      <x:c r="G17" t="str">
        <x:v>Possible candidate</x:v>
      </x:c>
      <x:c r="H17" t="str">
        <x:v>Research</x:v>
      </x:c>
      <x:c r="I17" t="str"/>
    </x:row>
    <x:row r="18">
      <x:c r="A18" t="n">
        <x:v>17</x:v>
      </x:c>
      <x:c r="B18" t="str">
        <x:v>Millennium Downtown</x:v>
      </x:c>
      <x:c r="C18" t="str">
        <x:v>Abu Dhabi</x:v>
      </x:c>
      <x:c r="D18" t="str">
        <x:v>UAE</x:v>
      </x:c>
      <x:c r="E18" t="str">
        <x:v>Middle East / Africa</x:v>
      </x:c>
      <x:c r="F18" t="str">
        <x:v>Gulf summer bargain</x:v>
      </x:c>
      <x:c r="G18" t="str">
        <x:v>Possible candidate</x:v>
      </x:c>
      <x:c r="H18" t="str">
        <x:v>Research</x:v>
      </x:c>
      <x:c r="I18" t="str"/>
    </x:row>
    <x:row r="19">
      <x:c r="A19" t="n">
        <x:v>18</x:v>
      </x:c>
      <x:c r="B19" t="str">
        <x:v>Real Marina Hotel &amp; Spa</x:v>
      </x:c>
      <x:c r="C19" t="str">
        <x:v>Olhão</x:v>
      </x:c>
      <x:c r="D19" t="str">
        <x:v>Portugal</x:v>
      </x:c>
      <x:c r="E19" t="str">
        <x:v>Europe</x:v>
      </x:c>
      <x:c r="F19" t="str">
        <x:v>Europe under-€100 when discounted</x:v>
      </x:c>
      <x:c r="G19" t="str">
        <x:v>Possible candidate</x:v>
      </x:c>
      <x:c r="H19" t="str">
        <x:v>Research</x:v>
      </x:c>
      <x:c r="I19" t="str"/>
    </x:row>
    <x:row r="20">
      <x:c r="A20" t="n">
        <x:v>19</x:v>
      </x:c>
      <x:c r="B20" t="str">
        <x:v>Graffit Gallery Design Hotel</x:v>
      </x:c>
      <x:c r="C20" t="str">
        <x:v>Varna</x:v>
      </x:c>
      <x:c r="D20" t="str">
        <x:v>Bulgaria</x:v>
      </x:c>
      <x:c r="E20" t="str">
        <x:v>Europe</x:v>
      </x:c>
      <x:c r="F20" t="str">
        <x:v>Stylish design value</x:v>
      </x:c>
      <x:c r="G20" t="str">
        <x:v>Possible candidate</x:v>
      </x:c>
      <x:c r="H20" t="str">
        <x:v>Research</x:v>
      </x:c>
      <x:c r="I20" t="str"/>
    </x:row>
    <x:row r="21">
      <x:c r="A21" t="n">
        <x:v>20</x:v>
      </x:c>
      <x:c r="B21" t="str">
        <x:v>Best Kuala Lumpur five-star candidate</x:v>
      </x:c>
      <x:c r="C21" t="str">
        <x:v>Kuala Lumpur</x:v>
      </x:c>
      <x:c r="D21" t="str">
        <x:v>Malaysia</x:v>
      </x:c>
      <x:c r="E21" t="str">
        <x:v>SE Asia</x:v>
      </x:c>
      <x:c r="F21" t="str">
        <x:v>Must identify best candidate</x:v>
      </x:c>
      <x:c r="G21" t="str">
        <x:v>To identify</x:v>
      </x:c>
      <x:c r="H21" t="str">
        <x:v>Research</x:v>
      </x:c>
      <x:c r="I21" t="str"/>
    </x:row>
    <x:row r="22">
      <x:c r="A22" t="n">
        <x:v>21</x:v>
      </x:c>
      <x:c r="B22" t="str">
        <x:v>Best Jakarta five-star candidate</x:v>
      </x:c>
      <x:c r="C22" t="str">
        <x:v>Jakarta</x:v>
      </x:c>
      <x:c r="D22" t="str">
        <x:v>Indonesia</x:v>
      </x:c>
      <x:c r="E22" t="str">
        <x:v>SE Asia</x:v>
      </x:c>
      <x:c r="F22" t="str">
        <x:v>Must identify best candidate with food angle</x:v>
      </x:c>
      <x:c r="G22" t="str">
        <x:v>To identify</x:v>
      </x:c>
      <x:c r="H22" t="str">
        <x:v>Research</x:v>
      </x:c>
      <x:c r="I22" t="str"/>
    </x:row>
    <x:row r="23">
      <x:c r="A23" t="n">
        <x:v>22</x:v>
      </x:c>
      <x:c r="B23" t="str">
        <x:v>Best Tbilisi five-star candidate</x:v>
      </x:c>
      <x:c r="C23" t="str">
        <x:v>Tbilisi</x:v>
      </x:c>
      <x:c r="D23" t="str">
        <x:v>Georgia</x:v>
      </x:c>
      <x:c r="E23" t="str">
        <x:v>Caucasus</x:v>
      </x:c>
      <x:c r="F23" t="str">
        <x:v>Must identify best candidate</x:v>
      </x:c>
      <x:c r="G23" t="str">
        <x:v>To identify</x:v>
      </x:c>
      <x:c r="H23" t="str">
        <x:v>Research</x:v>
      </x:c>
      <x:c r="I23" t="str"/>
    </x:row>
    <x:row r="24">
      <x:c r="A24" t="n">
        <x:v>23</x:v>
      </x:c>
      <x:c r="B24" t="str">
        <x:v>Best Yerevan five-star candidate</x:v>
      </x:c>
      <x:c r="C24" t="str">
        <x:v>Yerevan</x:v>
      </x:c>
      <x:c r="D24" t="str">
        <x:v>Armenia</x:v>
      </x:c>
      <x:c r="E24" t="str">
        <x:v>Caucasus</x:v>
      </x:c>
      <x:c r="F24" t="str">
        <x:v>Must identify best candidate</x:v>
      </x:c>
      <x:c r="G24" t="str">
        <x:v>To identify</x:v>
      </x:c>
      <x:c r="H24" t="str">
        <x:v>Research</x:v>
      </x:c>
      <x:c r="I24" t="str"/>
    </x:row>
    <x:row r="25">
      <x:c r="A25" t="n">
        <x:v>24</x:v>
      </x:c>
      <x:c r="B25" t="str">
        <x:v>Best Tashkent five-star candidate</x:v>
      </x:c>
      <x:c r="C25" t="str">
        <x:v>Tashkent</x:v>
      </x:c>
      <x:c r="D25" t="str">
        <x:v>Uzbekistan</x:v>
      </x:c>
      <x:c r="E25" t="str">
        <x:v>Central Asia</x:v>
      </x:c>
      <x:c r="F25" t="str">
        <x:v>Must identify best candidate</x:v>
      </x:c>
      <x:c r="G25" t="str">
        <x:v>To identify</x:v>
      </x:c>
      <x:c r="H25" t="str">
        <x:v>Research</x:v>
      </x:c>
      <x:c r="I25" t="str"/>
    </x:row>
    <x:row r="26">
      <x:c r="A26" t="n">
        <x:v>25</x:v>
      </x:c>
      <x:c r="B26" t="str">
        <x:v>Best Marrakech five-star candidate</x:v>
      </x:c>
      <x:c r="C26" t="str">
        <x:v>Marrakech</x:v>
      </x:c>
      <x:c r="D26" t="str">
        <x:v>Morocco</x:v>
      </x:c>
      <x:c r="E26" t="str">
        <x:v>North Africa</x:v>
      </x:c>
      <x:c r="F26" t="str">
        <x:v>Must identify best candidate</x:v>
      </x:c>
      <x:c r="G26" t="str">
        <x:v>To identify</x:v>
      </x:c>
      <x:c r="H26" t="str">
        <x:v>Research</x:v>
      </x:c>
      <x:c r="I26" t="str"/>
    </x:row>
  </x:sheetData>
  <x:pageMargins left="0.7" right="0.7" top="0.75" bottom="0.75" header="0.3" footer="0.3"/>
  <x:tableParts count="1">
    <x:tablePart xmlns:r="http://schemas.openxmlformats.org/officeDocument/2006/relationships" r:id="R8c36d4ad86e64c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16" t="str">
        <x:v>Budget tier</x:v>
      </x:c>
      <x:c r="B1" s="16" t="str">
        <x:v>Hotel type</x:v>
      </x:c>
      <x:c r="C1" s="16" t="str">
        <x:v>Five-star status</x:v>
      </x:c>
      <x:c r="D1" s="16" t="str">
        <x:v>Verdict</x:v>
      </x:c>
      <x:c r="E1" s="16" t="str">
        <x:v>Affiliate suitability</x:v>
      </x:c>
      <x:c r="F1" s="16" t="str">
        <x:v>Recommended</x:v>
      </x:c>
      <x:c r="G1" s="16" t="str">
        <x:v>Best for</x:v>
      </x:c>
      <x:c r="H1" s="16" t="str">
        <x:v>Research status</x:v>
      </x:c>
      <x:c r="I1" s="16"/>
    </x:row>
    <x:row r="2">
      <x:c r="A2" t="str">
        <x:v>Under €100</x:v>
      </x:c>
      <x:c r="B2" t="str">
        <x:v>Heritage</x:v>
      </x:c>
      <x:c r="C2" t="str">
        <x:v>True international five-star</x:v>
      </x:c>
      <x:c r="D2" t="str">
        <x:v>Exceptional value</x:v>
      </x:c>
      <x:c r="E2" t="str">
        <x:v>Good</x:v>
      </x:c>
      <x:c r="F2" t="str">
        <x:v>Yes</x:v>
      </x:c>
      <x:c r="G2" t="str">
        <x:v>Couples</x:v>
      </x:c>
      <x:c r="H2" t="str">
        <x:v>Not started</x:v>
      </x:c>
    </x:row>
    <x:row r="3">
      <x:c r="A3" t="str">
        <x:v>Under €200</x:v>
      </x:c>
      <x:c r="B3" t="str">
        <x:v>Business</x:v>
      </x:c>
      <x:c r="C3" t="str">
        <x:v>Local/booking-site five-star</x:v>
      </x:c>
      <x:c r="D3" t="str">
        <x:v>Strong value</x:v>
      </x:c>
      <x:c r="E3" t="str">
        <x:v>Moderate</x:v>
      </x:c>
      <x:c r="F3" t="str">
        <x:v>Maybe</x:v>
      </x:c>
      <x:c r="G3" t="str">
        <x:v>Solo travellers</x:v>
      </x:c>
      <x:c r="H3" t="str">
        <x:v>In progress</x:v>
      </x:c>
    </x:row>
    <x:row r="4">
      <x:c r="A4" t="str">
        <x:v>Under €250</x:v>
      </x:c>
      <x:c r="B4" t="str">
        <x:v>Resort</x:v>
      </x:c>
      <x:c r="C4" t="str">
        <x:v>Heritage-value five-star</x:v>
      </x:c>
      <x:c r="D4" t="str">
        <x:v>Good value</x:v>
      </x:c>
      <x:c r="E4" t="str">
        <x:v>Weak</x:v>
      </x:c>
      <x:c r="F4" t="str">
        <x:v>No</x:v>
      </x:c>
      <x:c r="G4" t="str">
        <x:v>City break</x:v>
      </x:c>
      <x:c r="H4" t="str">
        <x:v>Complete</x:v>
      </x:c>
    </x:row>
    <x:row r="5">
      <x:c r="A5" t="str">
        <x:v>Reject / no tier</x:v>
      </x:c>
      <x:c r="B5" t="str">
        <x:v>Spa</x:v>
      </x:c>
      <x:c r="C5" t="str">
        <x:v>Business five-star bargain</x:v>
      </x:c>
      <x:c r="D5" t="str">
        <x:v>Conditional value</x:v>
      </x:c>
      <x:c r="E5" t="str"/>
      <x:c r="F5" t="str"/>
      <x:c r="G5" t="str">
        <x:v>Food trip</x:v>
      </x:c>
      <x:c r="H5" t="str">
        <x:v>Needs review</x:v>
      </x:c>
    </x:row>
    <x:row r="6">
      <x:c r="A6" t="str"/>
      <x:c r="B6" t="str">
        <x:v>Beach</x:v>
      </x:c>
      <x:c r="C6" t="str">
        <x:v>Near-luxury exception</x:v>
      </x:c>
      <x:c r="D6" t="str">
        <x:v>Reject for now</x:v>
      </x:c>
      <x:c r="E6" t="str"/>
      <x:c r="F6" t="str"/>
      <x:c r="G6" t="str">
        <x:v>Stopover</x:v>
      </x:c>
      <x:c r="H6" t="str">
        <x:v>Rejected</x:v>
      </x:c>
    </x:row>
    <x:row r="7">
      <x:c r="A7" t="str"/>
      <x:c r="B7" t="str">
        <x:v>City luxury</x:v>
      </x:c>
      <x:c r="C7" t="str">
        <x:v>Questionable five-star</x:v>
      </x:c>
      <x:c r="D7" t="str"/>
      <x:c r="E7" t="str"/>
      <x:c r="F7" t="str"/>
      <x:c r="G7" t="str">
        <x:v>Spa weekend</x:v>
      </x:c>
      <x:c r="H7" t="str"/>
    </x:row>
    <x:row r="8">
      <x:c r="A8" t="str"/>
      <x:c r="B8" t="str">
        <x:v>Boutique</x:v>
      </x:c>
      <x:c r="C8" t="str"/>
      <x:c r="D8" t="str"/>
      <x:c r="E8" t="str"/>
      <x:c r="F8" t="str"/>
      <x:c r="G8" t="str">
        <x:v>History trip</x:v>
      </x:c>
      <x:c r="H8" t="str"/>
    </x:row>
    <x:row r="9">
      <x:c r="A9" t="str"/>
      <x:c r="B9" t="str">
        <x:v>Airport</x:v>
      </x:c>
      <x:c r="C9" t="str"/>
      <x:c r="D9" t="str"/>
      <x:c r="E9" t="str"/>
      <x:c r="F9" t="str"/>
      <x:c r="G9" t="str">
        <x:v>Beach break</x:v>
      </x:c>
      <x:c r="H9" t="str"/>
    </x:row>
    <x:row r="10">
      <x:c r="A10" t="str"/>
      <x:c r="B10" t="str">
        <x:v>Design</x:v>
      </x:c>
      <x:c r="C10" t="str"/>
      <x:c r="D10" t="str"/>
      <x:c r="E10" t="str"/>
      <x:c r="F10" t="str"/>
      <x:c r="G10" t="str">
        <x:v>Remote workers</x:v>
      </x:c>
      <x:c r="H10" t="str"/>
    </x:row>
    <x:row r="11">
      <x:c r="A11" t="str"/>
      <x:c r="B11" t="str">
        <x:v>Wellness</x:v>
      </x:c>
      <x:c r="C11" t="str"/>
      <x:c r="D11" t="str"/>
      <x:c r="E11" t="str"/>
      <x:c r="F11" t="str"/>
      <x:c r="G11" t="str">
        <x:v>Business travellers</x:v>
      </x:c>
      <x:c r="H11" t="str"/>
    </x:row>
    <x:row r="12">
      <x:c r="A12" t="str"/>
      <x:c r="B12" t="str">
        <x:v>Other</x:v>
      </x:c>
      <x:c r="C12" t="str"/>
      <x:c r="D12" t="str"/>
      <x:c r="E12" t="str"/>
      <x:c r="F12" t="str"/>
      <x:c r="G12" t="str"/>
      <x:c r="H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72" hidden="0" customWidth="1"/>
  </x:cols>
  <x:sheetData>
    <x:row r="1">
      <x:c r="A1" s="30" t="str">
        <x:v>Scoring system</x:v>
      </x:c>
      <x:c r="B1" s="30" t="str"/>
      <x:c r="C1" s="30" t="str"/>
      <x:c r="D1" s="30" t="str"/>
    </x:row>
    <x:row r="2">
      <x:c r="A2" s="24" t="str">
        <x:v>Factor</x:v>
      </x:c>
      <x:c r="B2" s="24" t="str">
        <x:v>Weight</x:v>
      </x:c>
      <x:c r="C2" s="24" t="str">
        <x:v>Score range</x:v>
      </x:c>
      <x:c r="D2" s="24" t="str">
        <x:v>Guidance</x:v>
      </x:c>
    </x:row>
    <x:row r="3">
      <x:c r="A3" t="str">
        <x:v>Price/value versus local five-star market</x:v>
      </x:c>
      <x:c r="B3" t="n">
        <x:v>25</x:v>
      </x:c>
      <x:c r="C3" t="str">
        <x:v>0–25</x:v>
      </x:c>
      <x:c r="D3" t="str">
        <x:v>How unusual is the price relative to local luxury inventory?</x:v>
      </x:c>
    </x:row>
    <x:row r="4">
      <x:c r="A4" t="str">
        <x:v>Hotel character or luxury feel</x:v>
      </x:c>
      <x:c r="B4" t="n">
        <x:v>20</x:v>
      </x:c>
      <x:c r="C4" t="str">
        <x:v>0–20</x:v>
      </x:c>
      <x:c r="D4" t="str">
        <x:v>Does it feel special: heritage, design, resort feel, spa, view, strong rooms?</x:v>
      </x:c>
    </x:row>
    <x:row r="5">
      <x:c r="A5" t="str">
        <x:v>Review strength and consistency</x:v>
      </x:c>
      <x:c r="B5" t="n">
        <x:v>15</x:v>
      </x:c>
      <x:c r="C5" t="str">
        <x:v>0–15</x:v>
      </x:c>
      <x:c r="D5" t="str">
        <x:v>Use recent Booking/Google/Tripadvisor/Agoda patterns; penalise recurring complaints.</x:v>
      </x:c>
    </x:row>
    <x:row r="6">
      <x:c r="A6" t="str">
        <x:v>Location usefulness</x:v>
      </x:c>
      <x:c r="B6" t="n">
        <x:v>15</x:v>
      </x:c>
      <x:c r="C6" t="str">
        <x:v>0–15</x:v>
      </x:c>
      <x:c r="D6" t="str">
        <x:v>Centrality, walkability, transport, airport access, safety, practical base quality.</x:v>
      </x:c>
    </x:row>
    <x:row r="7">
      <x:c r="A7" t="str">
        <x:v>Nearby sights, food, and experiences</x:v>
      </x:c>
      <x:c r="B7" t="n">
        <x:v>15</x:v>
      </x:c>
      <x:c r="C7" t="str">
        <x:v>0–15</x:v>
      </x:c>
      <x:c r="D7" t="str">
        <x:v>Specific things travellers can do/eat/see nearby or as easy day trips.</x:v>
      </x:c>
    </x:row>
    <x:row r="8">
      <x:c r="A8" t="str">
        <x:v>Risk level / hidden drawbacks</x:v>
      </x:c>
      <x:c r="B8" t="n">
        <x:v>10</x:v>
      </x:c>
      <x:c r="C8" t="str">
        <x:v>0–10</x:v>
      </x:c>
      <x:c r="D8" t="str">
        <x:v>Higher score = lower risk. Penalise safety, misleading five-star status, maintenance, poor location.</x:v>
      </x:c>
    </x:row>
    <x:row r="9">
      <x:c r="A9" t="str">
        <x:v>Total</x:v>
      </x:c>
      <x:c r="B9" t="n">
        <x:v>100</x:v>
      </x:c>
      <x:c r="C9" t="str">
        <x:v>0–100</x:v>
      </x:c>
      <x:c r="D9" t="str">
        <x:v>Formula-driven in Master Comparison.</x:v>
      </x:c>
    </x:row>
    <x:row r="10">
      <x:c r="A10" s="28" t="str"/>
      <x:c r="B10" s="28" t="str"/>
      <x:c r="C10" s="28" t="str"/>
      <x:c r="D10" s="28" t="str"/>
    </x:row>
    <x:row r="11">
      <x:c r="A11" t="str">
        <x:v>Final label thresholds</x:v>
      </x:c>
      <x:c r="B11" t="str"/>
      <x:c r="C11" t="str"/>
      <x:c r="D11" t="str"/>
    </x:row>
    <x:row r="12">
      <x:c r="A12" t="str">
        <x:v>85–100</x:v>
      </x:c>
      <x:c r="B12" t="str">
        <x:v>Exceptional value</x:v>
      </x:c>
      <x:c r="C12" t="str"/>
      <x:c r="D12" t="str"/>
    </x:row>
    <x:row r="13">
      <x:c r="A13" t="str">
        <x:v>75–84</x:v>
      </x:c>
      <x:c r="B13" t="str">
        <x:v>Strong value</x:v>
      </x:c>
      <x:c r="C13" t="str"/>
      <x:c r="D13" t="str"/>
    </x:row>
    <x:row r="14">
      <x:c r="A14" t="str">
        <x:v>65–74</x:v>
      </x:c>
      <x:c r="B14" t="str">
        <x:v>Good value</x:v>
      </x:c>
      <x:c r="C14" t="str"/>
      <x:c r="D14" t="str"/>
    </x:row>
    <x:row r="15">
      <x:c r="A15" t="str">
        <x:v>55–64</x:v>
      </x:c>
      <x:c r="B15" t="str">
        <x:v>Conditional value</x:v>
      </x:c>
      <x:c r="C15" t="str"/>
      <x:c r="D15" t="str"/>
    </x:row>
    <x:row r="16">
      <x:c r="A16" t="str">
        <x:v>Under 55</x:v>
      </x:c>
      <x:c r="B16" t="str">
        <x:v>Reject for now</x:v>
      </x:c>
      <x:c r="C16" t="str"/>
      <x:c r="D16" t="str"/>
    </x:row>
    <x:row r="17">
      <x:c r="A17" s="28" t="str"/>
      <x:c r="B17" s="28" t="str"/>
      <x:c r="C17" s="28" t="str"/>
      <x:c r="D17" s="28" t="str"/>
    </x:row>
    <x:row r="18">
      <x:c r="A18" t="str">
        <x:v>Editorial classifications</x:v>
      </x:c>
      <x:c r="B18" t="str">
        <x:v>Meaning</x:v>
      </x:c>
      <x:c r="C18" t="str"/>
      <x:c r="D18" t="str"/>
    </x:row>
    <x:row r="19">
      <x:c r="A19" t="str">
        <x:v>True international five-star</x:v>
      </x:c>
      <x:c r="B19" t="str">
        <x:v>Comparable to what travellers expect from luxury hotels globally</x:v>
      </x:c>
      <x:c r="C19" t="str"/>
      <x:c r="D19" t="str"/>
    </x:row>
    <x:row r="20">
      <x:c r="A20" t="str">
        <x:v>Local/booking-site five-star</x:v>
      </x:c>
      <x:c r="B20" t="str">
        <x:v>Marketed or classified as five-star, but closer to upper-upscale</x:v>
      </x:c>
      <x:c r="C20" t="str"/>
      <x:c r="D20" t="str"/>
    </x:row>
    <x:row r="21">
      <x:c r="A21" t="str">
        <x:v>Heritage-value five-star</x:v>
      </x:c>
      <x:c r="B21" t="str">
        <x:v>May be imperfect but has history, atmosphere, or distinctive character</x:v>
      </x:c>
      <x:c r="C21" t="str"/>
      <x:c r="D21" t="str"/>
    </x:row>
    <x:row r="22">
      <x:c r="A22" t="str">
        <x:v>Business five-star bargain</x:v>
      </x:c>
      <x:c r="B22" t="str">
        <x:v>Good facilities and service, but more practical than romantic or aspirational</x:v>
      </x:c>
      <x:c r="C22" t="str"/>
      <x:c r="D22" t="str"/>
    </x:row>
    <x:row r="23">
      <x:c r="A23" t="str">
        <x:v>Near-luxury exception</x:v>
      </x:c>
      <x:c r="B23" t="str">
        <x:v>Not clearly five-star, but possibly worth including if experience is exceptional</x:v>
      </x:c>
      <x:c r="C23" t="str"/>
      <x:c r="D23" t="str"/>
    </x:row>
    <x:row r="24">
      <x:c r="A24" t="str">
        <x:v>Questionable five-star</x:v>
      </x:c>
      <x:c r="B24" t="str">
        <x:v>Technically listed as five-star but weak for the website</x:v>
      </x:c>
      <x:c r="C24" t="str"/>
      <x:c r="D2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6" hidden="0" customWidth="1"/>
    <x:col min="4" max="4" width="20" hidden="0" customWidth="1"/>
    <x:col min="5" max="5" width="18" hidden="0" customWidth="1"/>
    <x:col min="6" max="6" width="14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26" hidden="0" customWidth="1"/>
    <x:col min="12" max="12" width="28" hidden="0" customWidth="1"/>
    <x:col min="13" max="13" width="38" hidden="0" customWidth="1"/>
    <x:col min="14" max="14" width="34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4" hidden="0" customWidth="1"/>
    <x:col min="21" max="21" width="12" hidden="0" customWidth="1"/>
    <x:col min="22" max="22" width="18" hidden="0" customWidth="1"/>
    <x:col min="23" max="23" width="18" hidden="0" customWidth="1"/>
    <x:col min="24" max="24" width="18" hidden="0" customWidth="1"/>
    <x:col min="25" max="25" width="16" hidden="0" customWidth="1"/>
    <x:col min="26" max="26" width="55" hidden="0" customWidth="1"/>
  </x:cols>
  <x:sheetData>
    <x:row r="1">
      <x:c r="A1" s="18" t="str">
        <x:v>Rank</x:v>
      </x:c>
      <x:c r="B1" s="18" t="str">
        <x:v>Hotel</x:v>
      </x:c>
      <x:c r="C1" s="18" t="str">
        <x:v>City</x:v>
      </x:c>
      <x:c r="D1" s="18" t="str">
        <x:v>Country</x:v>
      </x:c>
      <x:c r="E1" s="18" t="str">
        <x:v>Region</x:v>
      </x:c>
      <x:c r="F1" s="18" t="str">
        <x:v>Budget tier</x:v>
      </x:c>
      <x:c r="G1" s="18" t="str">
        <x:v>Typical price range</x:v>
      </x:c>
      <x:c r="H1" s="18" t="str">
        <x:v>Claimed star rating</x:v>
      </x:c>
      <x:c r="I1" s="18" t="str">
        <x:v>Review score</x:v>
      </x:c>
      <x:c r="J1" s="18" t="str">
        <x:v>Hotel type</x:v>
      </x:c>
      <x:c r="K1" s="18" t="str">
        <x:v>Five-star status</x:v>
      </x:c>
      <x:c r="L1" s="18" t="str">
        <x:v>Best nearby attraction</x:v>
      </x:c>
      <x:c r="M1" s="18" t="str">
        <x:v>Best food/restaurant angle</x:v>
      </x:c>
      <x:c r="N1" s="18" t="str">
        <x:v>Main caution</x:v>
      </x:c>
      <x:c r="O1" s="18" t="str">
        <x:v>Price/value score /25</x:v>
      </x:c>
      <x:c r="P1" s="18" t="str">
        <x:v>Character score /20</x:v>
      </x:c>
      <x:c r="Q1" s="18" t="str">
        <x:v>Review score /15</x:v>
      </x:c>
      <x:c r="R1" s="18" t="str">
        <x:v>Location score /15</x:v>
      </x:c>
      <x:c r="S1" s="18" t="str">
        <x:v>Experiences score /15</x:v>
      </x:c>
      <x:c r="T1" s="18" t="str">
        <x:v>Risk score /10</x:v>
      </x:c>
      <x:c r="U1" s="18" t="str">
        <x:v>Value score</x:v>
      </x:c>
      <x:c r="V1" s="18" t="str">
        <x:v>Verdict</x:v>
      </x:c>
      <x:c r="W1" s="18" t="str">
        <x:v>Recommended for first website batch?</x:v>
      </x:c>
      <x:c r="X1" s="18" t="str">
        <x:v>Affiliate suitability</x:v>
      </x:c>
      <x:c r="Y1" s="18" t="str">
        <x:v>Research status</x:v>
      </x:c>
      <x:c r="Z1" s="18" t="str">
        <x:v>Key source URLs</x:v>
      </x:c>
    </x:row>
    <x:row r="2">
      <x:c r="A2" t="n">
        <x:v>1</x:v>
      </x:c>
      <x:c r="B2" t="str">
        <x:v>Angkor Aurora</x:v>
      </x:c>
      <x:c r="C2" t="str">
        <x:v>Siem Reap</x:v>
      </x:c>
      <x:c r="D2" t="str">
        <x:v>Cambodia</x:v>
      </x:c>
      <x:c r="E2" t="str">
        <x:v>SE Asia</x:v>
      </x:c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n">
        <x:f>SUM(O2:T2)</x:f>
        <x:v>0</x:v>
      </x:c>
      <x:c r="V2" t="str">
        <x:f>IF(U2&gt;=85,"Exceptional value",IF(U2&gt;=75,"Strong value",IF(U2&gt;=65,"Good value",IF(U2&gt;=55,"Conditional value","Reject for now"))))</x:f>
        <x:v>Reject for now</x:v>
      </x:c>
      <x:c r="W2" t="str">
        <x:f>IF(U2&gt;=75,"Yes",IF(U2&gt;=65,"Maybe","No"))</x:f>
        <x:v>No</x:v>
      </x:c>
      <x:c r="X2" t="str"/>
      <x:c r="Y2" t="str">
        <x:v>Not started</x:v>
      </x:c>
      <x:c r="Z2" t="str"/>
    </x:row>
    <x:row r="3">
      <x:c r="A3" t="n">
        <x:v>2</x:v>
      </x:c>
      <x:c r="B3" t="str">
        <x:v>Malak Regency Hotel</x:v>
      </x:c>
      <x:c r="C3" t="str">
        <x:v>Sarajevo</x:v>
      </x:c>
      <x:c r="D3" t="str">
        <x:v>Bosnia and Herzegovina</x:v>
      </x:c>
      <x:c r="E3" t="str">
        <x:v>Europe / Balkans</x:v>
      </x:c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n">
        <x:f>SUM(O3:T3)</x:f>
        <x:v>0</x:v>
      </x:c>
      <x:c r="V3" t="str">
        <x:f>IF(U3&gt;=85,"Exceptional value",IF(U3&gt;=75,"Strong value",IF(U3&gt;=65,"Good value",IF(U3&gt;=55,"Conditional value","Reject for now"))))</x:f>
        <x:v>Reject for now</x:v>
      </x:c>
      <x:c r="W3" t="str">
        <x:f>IF(U3&gt;=75,"Yes",IF(U3&gt;=65,"Maybe","No"))</x:f>
        <x:v>No</x:v>
      </x:c>
      <x:c r="X3" t="str"/>
      <x:c r="Y3" t="str">
        <x:v>Not started</x:v>
      </x:c>
      <x:c r="Z3" t="str"/>
    </x:row>
    <x:row r="4">
      <x:c r="A4" t="n">
        <x:v>3</x:v>
      </x:c>
      <x:c r="B4" t="str">
        <x:v>Meliá Yangon</x:v>
      </x:c>
      <x:c r="C4" t="str">
        <x:v>Yangon</x:v>
      </x:c>
      <x:c r="D4" t="str">
        <x:v>Myanmar</x:v>
      </x:c>
      <x:c r="E4" t="str">
        <x:v>SE Asia</x:v>
      </x:c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n">
        <x:f>SUM(O4:T4)</x:f>
        <x:v>0</x:v>
      </x:c>
      <x:c r="V4" t="str">
        <x:f>IF(U4&gt;=85,"Exceptional value",IF(U4&gt;=75,"Strong value",IF(U4&gt;=65,"Good value",IF(U4&gt;=55,"Conditional value","Reject for now"))))</x:f>
        <x:v>Reject for now</x:v>
      </x:c>
      <x:c r="W4" t="str">
        <x:f>IF(U4&gt;=75,"Yes",IF(U4&gt;=65,"Maybe","No"))</x:f>
        <x:v>No</x:v>
      </x:c>
      <x:c r="X4" t="str"/>
      <x:c r="Y4" t="str">
        <x:v>Not started</x:v>
      </x:c>
      <x:c r="Z4" t="str"/>
    </x:row>
    <x:row r="5">
      <x:c r="A5" t="n">
        <x:v>4</x:v>
      </x:c>
      <x:c r="B5" t="str">
        <x:v>The Raweekanlaya Bangkok Wellness Cuisine Resort</x:v>
      </x:c>
      <x:c r="C5" t="str">
        <x:v>Bangkok</x:v>
      </x:c>
      <x:c r="D5" t="str">
        <x:v>Thailand</x:v>
      </x:c>
      <x:c r="E5" t="str">
        <x:v>SE Asia</x:v>
      </x:c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n">
        <x:f>SUM(O5:T5)</x:f>
        <x:v>0</x:v>
      </x:c>
      <x:c r="V5" t="str">
        <x:f>IF(U5&gt;=85,"Exceptional value",IF(U5&gt;=75,"Strong value",IF(U5&gt;=65,"Good value",IF(U5&gt;=55,"Conditional value","Reject for now"))))</x:f>
        <x:v>Reject for now</x:v>
      </x:c>
      <x:c r="W5" t="str">
        <x:f>IF(U5&gt;=75,"Yes",IF(U5&gt;=65,"Maybe","No"))</x:f>
        <x:v>No</x:v>
      </x:c>
      <x:c r="X5" t="str"/>
      <x:c r="Y5" t="str">
        <x:v>Not started</x:v>
      </x:c>
      <x:c r="Z5" t="str"/>
    </x:row>
    <x:row r="6">
      <x:c r="A6" t="n">
        <x:v>5</x:v>
      </x:c>
      <x:c r="B6" t="str">
        <x:v>Hotel Majapahit Surabaya – MGallery</x:v>
      </x:c>
      <x:c r="C6" t="str">
        <x:v>Surabaya</x:v>
      </x:c>
      <x:c r="D6" t="str">
        <x:v>Indonesia</x:v>
      </x:c>
      <x:c r="E6" t="str">
        <x:v>SE Asia</x:v>
      </x:c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n">
        <x:f>SUM(O6:T6)</x:f>
        <x:v>0</x:v>
      </x:c>
      <x:c r="V6" t="str">
        <x:f>IF(U6&gt;=85,"Exceptional value",IF(U6&gt;=75,"Strong value",IF(U6&gt;=65,"Good value",IF(U6&gt;=55,"Conditional value","Reject for now"))))</x:f>
        <x:v>Reject for now</x:v>
      </x:c>
      <x:c r="W6" t="str">
        <x:f>IF(U6&gt;=75,"Yes",IF(U6&gt;=65,"Maybe","No"))</x:f>
        <x:v>No</x:v>
      </x:c>
      <x:c r="X6" t="str"/>
      <x:c r="Y6" t="str">
        <x:v>Not started</x:v>
      </x:c>
      <x:c r="Z6" t="str"/>
    </x:row>
    <x:row r="7">
      <x:c r="A7" t="n">
        <x:v>6</x:v>
      </x:c>
      <x:c r="B7" t="str">
        <x:v>The Phoenix Hotel Yogyakarta – Handwritten Collection</x:v>
      </x:c>
      <x:c r="C7" t="str">
        <x:v>Yogyakarta</x:v>
      </x:c>
      <x:c r="D7" t="str">
        <x:v>Indonesia</x:v>
      </x:c>
      <x:c r="E7" t="str">
        <x:v>SE Asia</x:v>
      </x:c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n">
        <x:f>SUM(O7:T7)</x:f>
        <x:v>0</x:v>
      </x:c>
      <x:c r="V7" t="str">
        <x:f>IF(U7&gt;=85,"Exceptional value",IF(U7&gt;=75,"Strong value",IF(U7&gt;=65,"Good value",IF(U7&gt;=55,"Conditional value","Reject for now"))))</x:f>
        <x:v>Reject for now</x:v>
      </x:c>
      <x:c r="W7" t="str">
        <x:f>IF(U7&gt;=75,"Yes",IF(U7&gt;=65,"Maybe","No"))</x:f>
        <x:v>No</x:v>
      </x:c>
      <x:c r="X7" t="str"/>
      <x:c r="Y7" t="str">
        <x:v>Not started</x:v>
      </x:c>
      <x:c r="Z7" t="str"/>
    </x:row>
    <x:row r="8">
      <x:c r="A8" t="n">
        <x:v>7</x:v>
      </x:c>
      <x:c r="B8" t="str">
        <x:v>The Royal Surakarta Heritage – Handwritten Collection</x:v>
      </x:c>
      <x:c r="C8" t="str">
        <x:v>Solo</x:v>
      </x:c>
      <x:c r="D8" t="str">
        <x:v>Indonesia</x:v>
      </x:c>
      <x:c r="E8" t="str">
        <x:v>SE Asia</x:v>
      </x:c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n">
        <x:f>SUM(O8:T8)</x:f>
        <x:v>0</x:v>
      </x:c>
      <x:c r="V8" t="str">
        <x:f>IF(U8&gt;=85,"Exceptional value",IF(U8&gt;=75,"Strong value",IF(U8&gt;=65,"Good value",IF(U8&gt;=55,"Conditional value","Reject for now"))))</x:f>
        <x:v>Reject for now</x:v>
      </x:c>
      <x:c r="W8" t="str">
        <x:f>IF(U8&gt;=75,"Yes",IF(U8&gt;=65,"Maybe","No"))</x:f>
        <x:v>No</x:v>
      </x:c>
      <x:c r="X8" t="str"/>
      <x:c r="Y8" t="str">
        <x:v>Not started</x:v>
      </x:c>
      <x:c r="Z8" t="str"/>
    </x:row>
    <x:row r="9">
      <x:c r="A9" t="n">
        <x:v>8</x:v>
      </x:c>
      <x:c r="B9" t="str">
        <x:v>Grand Mercure Medan Angkasa</x:v>
      </x:c>
      <x:c r="C9" t="str">
        <x:v>Medan</x:v>
      </x:c>
      <x:c r="D9" t="str">
        <x:v>Indonesia</x:v>
      </x:c>
      <x:c r="E9" t="str">
        <x:v>SE Asia</x:v>
      </x:c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n">
        <x:f>SUM(O9:T9)</x:f>
        <x:v>0</x:v>
      </x:c>
      <x:c r="V9" t="str">
        <x:f>IF(U9&gt;=85,"Exceptional value",IF(U9&gt;=75,"Strong value",IF(U9&gt;=65,"Good value",IF(U9&gt;=55,"Conditional value","Reject for now"))))</x:f>
        <x:v>Reject for now</x:v>
      </x:c>
      <x:c r="W9" t="str">
        <x:f>IF(U9&gt;=75,"Yes",IF(U9&gt;=65,"Maybe","No"))</x:f>
        <x:v>No</x:v>
      </x:c>
      <x:c r="X9" t="str"/>
      <x:c r="Y9" t="str">
        <x:v>Not started</x:v>
      </x:c>
      <x:c r="Z9" t="str"/>
    </x:row>
    <x:row r="10">
      <x:c r="A10" t="n">
        <x:v>9</x:v>
      </x:c>
      <x:c r="B10" t="str">
        <x:v>Boton Blue Hotel &amp; Spa</x:v>
      </x:c>
      <x:c r="C10" t="str">
        <x:v>Nha Trang</x:v>
      </x:c>
      <x:c r="D10" t="str">
        <x:v>Vietnam</x:v>
      </x:c>
      <x:c r="E10" t="str">
        <x:v>SE Asia</x:v>
      </x:c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n">
        <x:f>SUM(O10:T10)</x:f>
        <x:v>0</x:v>
      </x:c>
      <x:c r="V10" t="str">
        <x:f>IF(U10&gt;=85,"Exceptional value",IF(U10&gt;=75,"Strong value",IF(U10&gt;=65,"Good value",IF(U10&gt;=55,"Conditional value","Reject for now"))))</x:f>
        <x:v>Reject for now</x:v>
      </x:c>
      <x:c r="W10" t="str">
        <x:f>IF(U10&gt;=75,"Yes",IF(U10&gt;=65,"Maybe","No"))</x:f>
        <x:v>No</x:v>
      </x:c>
      <x:c r="X10" t="str"/>
      <x:c r="Y10" t="str">
        <x:v>Not started</x:v>
      </x:c>
      <x:c r="Z10" t="str"/>
    </x:row>
    <x:row r="11">
      <x:c r="A11" t="n">
        <x:v>10</x:v>
      </x:c>
      <x:c r="B11" t="str">
        <x:v>Silk Path Hotel</x:v>
      </x:c>
      <x:c r="C11" t="str">
        <x:v>Hue</x:v>
      </x:c>
      <x:c r="D11" t="str">
        <x:v>Vietnam</x:v>
      </x:c>
      <x:c r="E11" t="str">
        <x:v>SE Asia</x:v>
      </x:c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n">
        <x:f>SUM(O11:T11)</x:f>
        <x:v>0</x:v>
      </x:c>
      <x:c r="V11" t="str">
        <x:f>IF(U11&gt;=85,"Exceptional value",IF(U11&gt;=75,"Strong value",IF(U11&gt;=65,"Good value",IF(U11&gt;=55,"Conditional value","Reject for now"))))</x:f>
        <x:v>Reject for now</x:v>
      </x:c>
      <x:c r="W11" t="str">
        <x:f>IF(U11&gt;=75,"Yes",IF(U11&gt;=65,"Maybe","No"))</x:f>
        <x:v>No</x:v>
      </x:c>
      <x:c r="X11" t="str"/>
      <x:c r="Y11" t="str">
        <x:v>Not started</x:v>
      </x:c>
      <x:c r="Z11" t="str"/>
    </x:row>
    <x:row r="12">
      <x:c r="A12" t="n">
        <x:v>11</x:v>
      </x:c>
      <x:c r="B12" t="str">
        <x:v>Steigenberger Resort Achti</x:v>
      </x:c>
      <x:c r="C12" t="str">
        <x:v>Luxor</x:v>
      </x:c>
      <x:c r="D12" t="str">
        <x:v>Egypt</x:v>
      </x:c>
      <x:c r="E12" t="str">
        <x:v>Middle East / Africa</x:v>
      </x:c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n">
        <x:f>SUM(O12:T12)</x:f>
        <x:v>0</x:v>
      </x:c>
      <x:c r="V12" t="str">
        <x:f>IF(U12&gt;=85,"Exceptional value",IF(U12&gt;=75,"Strong value",IF(U12&gt;=65,"Good value",IF(U12&gt;=55,"Conditional value","Reject for now"))))</x:f>
        <x:v>Reject for now</x:v>
      </x:c>
      <x:c r="W12" t="str">
        <x:f>IF(U12&gt;=75,"Yes",IF(U12&gt;=65,"Maybe","No"))</x:f>
        <x:v>No</x:v>
      </x:c>
      <x:c r="X12" t="str"/>
      <x:c r="Y12" t="str">
        <x:v>Not started</x:v>
      </x:c>
      <x:c r="Z12" t="str"/>
    </x:row>
    <x:row r="13">
      <x:c r="A13" t="n">
        <x:v>12</x:v>
      </x:c>
      <x:c r="B13" t="str">
        <x:v>Pleiada Boutique Hotel &amp; Spa</x:v>
      </x:c>
      <x:c r="C13" t="str">
        <x:v>Iași</x:v>
      </x:c>
      <x:c r="D13" t="str">
        <x:v>Romania</x:v>
      </x:c>
      <x:c r="E13" t="str">
        <x:v>Europe</x:v>
      </x:c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n">
        <x:f>SUM(O13:T13)</x:f>
        <x:v>0</x:v>
      </x:c>
      <x:c r="V13" t="str">
        <x:f>IF(U13&gt;=85,"Exceptional value",IF(U13&gt;=75,"Strong value",IF(U13&gt;=65,"Good value",IF(U13&gt;=55,"Conditional value","Reject for now"))))</x:f>
        <x:v>Reject for now</x:v>
      </x:c>
      <x:c r="W13" t="str">
        <x:f>IF(U13&gt;=75,"Yes",IF(U13&gt;=65,"Maybe","No"))</x:f>
        <x:v>No</x:v>
      </x:c>
      <x:c r="X13" t="str"/>
      <x:c r="Y13" t="str">
        <x:v>Not started</x:v>
      </x:c>
      <x:c r="Z13" t="str"/>
    </x:row>
    <x:row r="14">
      <x:c r="A14" t="n">
        <x:v>13</x:v>
      </x:c>
      <x:c r="B14" t="str">
        <x:v>I’M Hotel</x:v>
      </x:c>
      <x:c r="C14" t="str">
        <x:v>Makati</x:v>
      </x:c>
      <x:c r="D14" t="str">
        <x:v>Philippines</x:v>
      </x:c>
      <x:c r="E14" t="str">
        <x:v>SE Asia</x:v>
      </x:c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n">
        <x:f>SUM(O14:T14)</x:f>
        <x:v>0</x:v>
      </x:c>
      <x:c r="V14" t="str">
        <x:f>IF(U14&gt;=85,"Exceptional value",IF(U14&gt;=75,"Strong value",IF(U14&gt;=65,"Good value",IF(U14&gt;=55,"Conditional value","Reject for now"))))</x:f>
        <x:v>Reject for now</x:v>
      </x:c>
      <x:c r="W14" t="str">
        <x:f>IF(U14&gt;=75,"Yes",IF(U14&gt;=65,"Maybe","No"))</x:f>
        <x:v>No</x:v>
      </x:c>
      <x:c r="X14" t="str"/>
      <x:c r="Y14" t="str">
        <x:v>Not started</x:v>
      </x:c>
      <x:c r="Z14" t="str"/>
    </x:row>
    <x:row r="15">
      <x:c r="A15" t="n">
        <x:v>14</x:v>
      </x:c>
      <x:c r="B15" t="str">
        <x:v>NH Collection Bogotá WTC Royal</x:v>
      </x:c>
      <x:c r="C15" t="str">
        <x:v>Bogotá</x:v>
      </x:c>
      <x:c r="D15" t="str">
        <x:v>Colombia</x:v>
      </x:c>
      <x:c r="E15" t="str">
        <x:v>Latin America</x:v>
      </x:c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n">
        <x:f>SUM(O15:T15)</x:f>
        <x:v>0</x:v>
      </x:c>
      <x:c r="V15" t="str">
        <x:f>IF(U15&gt;=85,"Exceptional value",IF(U15&gt;=75,"Strong value",IF(U15&gt;=65,"Good value",IF(U15&gt;=55,"Conditional value","Reject for now"))))</x:f>
        <x:v>Reject for now</x:v>
      </x:c>
      <x:c r="W15" t="str">
        <x:f>IF(U15&gt;=75,"Yes",IF(U15&gt;=65,"Maybe","No"))</x:f>
        <x:v>No</x:v>
      </x:c>
      <x:c r="X15" t="str"/>
      <x:c r="Y15" t="str">
        <x:v>Not started</x:v>
      </x:c>
      <x:c r="Z15" t="str"/>
    </x:row>
    <x:row r="16">
      <x:c r="A16" t="n">
        <x:v>15</x:v>
      </x:c>
      <x:c r="B16" t="str">
        <x:v>Novotel Ahmedabad</x:v>
      </x:c>
      <x:c r="C16" t="str">
        <x:v>Ahmedabad</x:v>
      </x:c>
      <x:c r="D16" t="str">
        <x:v>India</x:v>
      </x:c>
      <x:c r="E16" t="str">
        <x:v>South Asia</x:v>
      </x:c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n">
        <x:f>SUM(O16:T16)</x:f>
        <x:v>0</x:v>
      </x:c>
      <x:c r="V16" t="str">
        <x:f>IF(U16&gt;=85,"Exceptional value",IF(U16&gt;=75,"Strong value",IF(U16&gt;=65,"Good value",IF(U16&gt;=55,"Conditional value","Reject for now"))))</x:f>
        <x:v>Reject for now</x:v>
      </x:c>
      <x:c r="W16" t="str">
        <x:f>IF(U16&gt;=75,"Yes",IF(U16&gt;=65,"Maybe","No"))</x:f>
        <x:v>No</x:v>
      </x:c>
      <x:c r="X16" t="str"/>
      <x:c r="Y16" t="str">
        <x:v>Not started</x:v>
      </x:c>
      <x:c r="Z16" t="str"/>
    </x:row>
    <x:row r="17">
      <x:c r="A17" t="n">
        <x:v>16</x:v>
      </x:c>
      <x:c r="B17" t="str">
        <x:v>Mandarin Colombo</x:v>
      </x:c>
      <x:c r="C17" t="str">
        <x:v>Colombo</x:v>
      </x:c>
      <x:c r="D17" t="str">
        <x:v>Sri Lanka</x:v>
      </x:c>
      <x:c r="E17" t="str">
        <x:v>South Asia</x:v>
      </x:c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n">
        <x:f>SUM(O17:T17)</x:f>
        <x:v>0</x:v>
      </x:c>
      <x:c r="V17" t="str">
        <x:f>IF(U17&gt;=85,"Exceptional value",IF(U17&gt;=75,"Strong value",IF(U17&gt;=65,"Good value",IF(U17&gt;=55,"Conditional value","Reject for now"))))</x:f>
        <x:v>Reject for now</x:v>
      </x:c>
      <x:c r="W17" t="str">
        <x:f>IF(U17&gt;=75,"Yes",IF(U17&gt;=65,"Maybe","No"))</x:f>
        <x:v>No</x:v>
      </x:c>
      <x:c r="X17" t="str"/>
      <x:c r="Y17" t="str">
        <x:v>Not started</x:v>
      </x:c>
      <x:c r="Z17" t="str"/>
    </x:row>
    <x:row r="18">
      <x:c r="A18" t="n">
        <x:v>17</x:v>
      </x:c>
      <x:c r="B18" t="str">
        <x:v>Millennium Downtown</x:v>
      </x:c>
      <x:c r="C18" t="str">
        <x:v>Abu Dhabi</x:v>
      </x:c>
      <x:c r="D18" t="str">
        <x:v>UAE</x:v>
      </x:c>
      <x:c r="E18" t="str">
        <x:v>Middle East / Africa</x:v>
      </x:c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n">
        <x:f>SUM(O18:T18)</x:f>
        <x:v>0</x:v>
      </x:c>
      <x:c r="V18" t="str">
        <x:f>IF(U18&gt;=85,"Exceptional value",IF(U18&gt;=75,"Strong value",IF(U18&gt;=65,"Good value",IF(U18&gt;=55,"Conditional value","Reject for now"))))</x:f>
        <x:v>Reject for now</x:v>
      </x:c>
      <x:c r="W18" t="str">
        <x:f>IF(U18&gt;=75,"Yes",IF(U18&gt;=65,"Maybe","No"))</x:f>
        <x:v>No</x:v>
      </x:c>
      <x:c r="X18" t="str"/>
      <x:c r="Y18" t="str">
        <x:v>Not started</x:v>
      </x:c>
      <x:c r="Z18" t="str"/>
    </x:row>
    <x:row r="19">
      <x:c r="A19" t="n">
        <x:v>18</x:v>
      </x:c>
      <x:c r="B19" t="str">
        <x:v>Real Marina Hotel &amp; Spa</x:v>
      </x:c>
      <x:c r="C19" t="str">
        <x:v>Olhão</x:v>
      </x:c>
      <x:c r="D19" t="str">
        <x:v>Portugal</x:v>
      </x:c>
      <x:c r="E19" t="str">
        <x:v>Europe</x:v>
      </x:c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n">
        <x:f>SUM(O19:T19)</x:f>
        <x:v>0</x:v>
      </x:c>
      <x:c r="V19" t="str">
        <x:f>IF(U19&gt;=85,"Exceptional value",IF(U19&gt;=75,"Strong value",IF(U19&gt;=65,"Good value",IF(U19&gt;=55,"Conditional value","Reject for now"))))</x:f>
        <x:v>Reject for now</x:v>
      </x:c>
      <x:c r="W19" t="str">
        <x:f>IF(U19&gt;=75,"Yes",IF(U19&gt;=65,"Maybe","No"))</x:f>
        <x:v>No</x:v>
      </x:c>
      <x:c r="X19" t="str"/>
      <x:c r="Y19" t="str">
        <x:v>Not started</x:v>
      </x:c>
      <x:c r="Z19" t="str"/>
    </x:row>
    <x:row r="20">
      <x:c r="A20" t="n">
        <x:v>19</x:v>
      </x:c>
      <x:c r="B20" t="str">
        <x:v>Graffit Gallery Design Hotel</x:v>
      </x:c>
      <x:c r="C20" t="str">
        <x:v>Varna</x:v>
      </x:c>
      <x:c r="D20" t="str">
        <x:v>Bulgaria</x:v>
      </x:c>
      <x:c r="E20" t="str">
        <x:v>Europe</x:v>
      </x:c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n">
        <x:f>SUM(O20:T20)</x:f>
        <x:v>0</x:v>
      </x:c>
      <x:c r="V20" t="str">
        <x:f>IF(U20&gt;=85,"Exceptional value",IF(U20&gt;=75,"Strong value",IF(U20&gt;=65,"Good value",IF(U20&gt;=55,"Conditional value","Reject for now"))))</x:f>
        <x:v>Reject for now</x:v>
      </x:c>
      <x:c r="W20" t="str">
        <x:f>IF(U20&gt;=75,"Yes",IF(U20&gt;=65,"Maybe","No"))</x:f>
        <x:v>No</x:v>
      </x:c>
      <x:c r="X20" t="str"/>
      <x:c r="Y20" t="str">
        <x:v>Not started</x:v>
      </x:c>
      <x:c r="Z20" t="str"/>
    </x:row>
    <x:row r="21">
      <x:c r="A21" t="n">
        <x:v>20</x:v>
      </x:c>
      <x:c r="B21" t="str">
        <x:v>Best Kuala Lumpur five-star candidate</x:v>
      </x:c>
      <x:c r="C21" t="str">
        <x:v>Kuala Lumpur</x:v>
      </x:c>
      <x:c r="D21" t="str">
        <x:v>Malaysia</x:v>
      </x:c>
      <x:c r="E21" t="str">
        <x:v>SE Asia</x:v>
      </x:c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n">
        <x:f>SUM(O21:T21)</x:f>
        <x:v>0</x:v>
      </x:c>
      <x:c r="V21" t="str">
        <x:f>IF(U21&gt;=85,"Exceptional value",IF(U21&gt;=75,"Strong value",IF(U21&gt;=65,"Good value",IF(U21&gt;=55,"Conditional value","Reject for now"))))</x:f>
        <x:v>Reject for now</x:v>
      </x:c>
      <x:c r="W21" t="str">
        <x:f>IF(U21&gt;=75,"Yes",IF(U21&gt;=65,"Maybe","No"))</x:f>
        <x:v>No</x:v>
      </x:c>
      <x:c r="X21" t="str"/>
      <x:c r="Y21" t="str">
        <x:v>Not started</x:v>
      </x:c>
      <x:c r="Z21" t="str"/>
    </x:row>
    <x:row r="22">
      <x:c r="A22" t="n">
        <x:v>21</x:v>
      </x:c>
      <x:c r="B22" t="str">
        <x:v>Best Jakarta five-star candidate</x:v>
      </x:c>
      <x:c r="C22" t="str">
        <x:v>Jakarta</x:v>
      </x:c>
      <x:c r="D22" t="str">
        <x:v>Indonesia</x:v>
      </x:c>
      <x:c r="E22" t="str">
        <x:v>SE Asia</x:v>
      </x:c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n">
        <x:f>SUM(O22:T22)</x:f>
        <x:v>0</x:v>
      </x:c>
      <x:c r="V22" t="str">
        <x:f>IF(U22&gt;=85,"Exceptional value",IF(U22&gt;=75,"Strong value",IF(U22&gt;=65,"Good value",IF(U22&gt;=55,"Conditional value","Reject for now"))))</x:f>
        <x:v>Reject for now</x:v>
      </x:c>
      <x:c r="W22" t="str">
        <x:f>IF(U22&gt;=75,"Yes",IF(U22&gt;=65,"Maybe","No"))</x:f>
        <x:v>No</x:v>
      </x:c>
      <x:c r="X22" t="str"/>
      <x:c r="Y22" t="str">
        <x:v>Not started</x:v>
      </x:c>
      <x:c r="Z22" t="str"/>
    </x:row>
    <x:row r="23">
      <x:c r="A23" t="n">
        <x:v>22</x:v>
      </x:c>
      <x:c r="B23" t="str">
        <x:v>Best Tbilisi five-star candidate</x:v>
      </x:c>
      <x:c r="C23" t="str">
        <x:v>Tbilisi</x:v>
      </x:c>
      <x:c r="D23" t="str">
        <x:v>Georgia</x:v>
      </x:c>
      <x:c r="E23" t="str">
        <x:v>Caucasus</x:v>
      </x:c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n">
        <x:f>SUM(O23:T23)</x:f>
        <x:v>0</x:v>
      </x:c>
      <x:c r="V23" t="str">
        <x:f>IF(U23&gt;=85,"Exceptional value",IF(U23&gt;=75,"Strong value",IF(U23&gt;=65,"Good value",IF(U23&gt;=55,"Conditional value","Reject for now"))))</x:f>
        <x:v>Reject for now</x:v>
      </x:c>
      <x:c r="W23" t="str">
        <x:f>IF(U23&gt;=75,"Yes",IF(U23&gt;=65,"Maybe","No"))</x:f>
        <x:v>No</x:v>
      </x:c>
      <x:c r="X23" t="str"/>
      <x:c r="Y23" t="str">
        <x:v>Not started</x:v>
      </x:c>
      <x:c r="Z23" t="str"/>
    </x:row>
    <x:row r="24">
      <x:c r="A24" t="n">
        <x:v>23</x:v>
      </x:c>
      <x:c r="B24" t="str">
        <x:v>Best Yerevan five-star candidate</x:v>
      </x:c>
      <x:c r="C24" t="str">
        <x:v>Yerevan</x:v>
      </x:c>
      <x:c r="D24" t="str">
        <x:v>Armenia</x:v>
      </x:c>
      <x:c r="E24" t="str">
        <x:v>Caucasus</x:v>
      </x:c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n">
        <x:f>SUM(O24:T24)</x:f>
        <x:v>0</x:v>
      </x:c>
      <x:c r="V24" t="str">
        <x:f>IF(U24&gt;=85,"Exceptional value",IF(U24&gt;=75,"Strong value",IF(U24&gt;=65,"Good value",IF(U24&gt;=55,"Conditional value","Reject for now"))))</x:f>
        <x:v>Reject for now</x:v>
      </x:c>
      <x:c r="W24" t="str">
        <x:f>IF(U24&gt;=75,"Yes",IF(U24&gt;=65,"Maybe","No"))</x:f>
        <x:v>No</x:v>
      </x:c>
      <x:c r="X24" t="str"/>
      <x:c r="Y24" t="str">
        <x:v>Not started</x:v>
      </x:c>
      <x:c r="Z24" t="str"/>
    </x:row>
    <x:row r="25">
      <x:c r="A25" t="n">
        <x:v>24</x:v>
      </x:c>
      <x:c r="B25" t="str">
        <x:v>Best Tashkent five-star candidate</x:v>
      </x:c>
      <x:c r="C25" t="str">
        <x:v>Tashkent</x:v>
      </x:c>
      <x:c r="D25" t="str">
        <x:v>Uzbekistan</x:v>
      </x:c>
      <x:c r="E25" t="str">
        <x:v>Central Asia</x:v>
      </x:c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n">
        <x:f>SUM(O25:T25)</x:f>
        <x:v>0</x:v>
      </x:c>
      <x:c r="V25" t="str">
        <x:f>IF(U25&gt;=85,"Exceptional value",IF(U25&gt;=75,"Strong value",IF(U25&gt;=65,"Good value",IF(U25&gt;=55,"Conditional value","Reject for now"))))</x:f>
        <x:v>Reject for now</x:v>
      </x:c>
      <x:c r="W25" t="str">
        <x:f>IF(U25&gt;=75,"Yes",IF(U25&gt;=65,"Maybe","No"))</x:f>
        <x:v>No</x:v>
      </x:c>
      <x:c r="X25" t="str"/>
      <x:c r="Y25" t="str">
        <x:v>Not started</x:v>
      </x:c>
      <x:c r="Z25" t="str"/>
    </x:row>
    <x:row r="26">
      <x:c r="A26" t="n">
        <x:v>25</x:v>
      </x:c>
      <x:c r="B26" t="str">
        <x:v>Best Marrakech five-star candidate</x:v>
      </x:c>
      <x:c r="C26" t="str">
        <x:v>Marrakech</x:v>
      </x:c>
      <x:c r="D26" t="str">
        <x:v>Morocco</x:v>
      </x:c>
      <x:c r="E26" t="str">
        <x:v>North Africa</x:v>
      </x:c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n">
        <x:f>SUM(O26:T26)</x:f>
        <x:v>0</x:v>
      </x:c>
      <x:c r="V26" t="str">
        <x:f>IF(U26&gt;=85,"Exceptional value",IF(U26&gt;=75,"Strong value",IF(U26&gt;=65,"Good value",IF(U26&gt;=55,"Conditional value","Reject for now"))))</x:f>
        <x:v>Reject for now</x:v>
      </x:c>
      <x:c r="W26" t="str">
        <x:f>IF(U26&gt;=75,"Yes",IF(U26&gt;=65,"Maybe","No"))</x:f>
        <x:v>No</x:v>
      </x:c>
      <x:c r="X26" t="str"/>
      <x:c r="Y26" t="str">
        <x:v>Not started</x:v>
      </x:c>
      <x:c r="Z26" t="str"/>
    </x:row>
  </x:sheetData>
  <x:conditionalFormatting sqref="U2:U2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5">
    <x:dataValidation type="list" sqref="F2:F26">
      <x:formula1>'Dropdown Lists'!$A$2:$A$5</x:formula1>
    </x:dataValidation>
    <x:dataValidation type="list" sqref="J2:J26">
      <x:formula1>'Dropdown Lists'!$B$2:$B$12</x:formula1>
    </x:dataValidation>
    <x:dataValidation type="list" sqref="K2:K26">
      <x:formula1>'Dropdown Lists'!$C$2:$C$7</x:formula1>
    </x:dataValidation>
    <x:dataValidation type="list" sqref="X2:X26">
      <x:formula1>'Dropdown Lists'!$F$2:$F$4</x:formula1>
    </x:dataValidation>
    <x:dataValidation type="list" sqref="Y2:Y26">
      <x:formula1>'Dropdown Lists'!$I$2:$I$6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b4af5850cb43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24" hidden="0" customWidth="1"/>
    <x:col min="4" max="4" width="14" hidden="0" customWidth="1"/>
    <x:col min="5" max="5" width="18" hidden="0" customWidth="1"/>
    <x:col min="6" max="6" width="24" hidden="0" customWidth="1"/>
    <x:col min="7" max="7" width="22" hidden="0" customWidth="1"/>
    <x:col min="8" max="8" width="55" hidden="0" customWidth="1"/>
    <x:col min="9" max="9" width="55" hidden="0" customWidth="1"/>
    <x:col min="10" max="10" width="45" hidden="0" customWidth="1"/>
    <x:col min="11" max="11" width="55" hidden="0" customWidth="1"/>
    <x:col min="12" max="12" width="60" hidden="0" customWidth="1"/>
    <x:col min="13" max="13" width="38" hidden="0" customWidth="1"/>
    <x:col min="14" max="14" width="45" hidden="0" customWidth="1"/>
    <x:col min="15" max="15" width="55" hidden="0" customWidth="1"/>
    <x:col min="16" max="16" width="60" hidden="0" customWidth="1"/>
  </x:cols>
  <x:sheetData>
    <x:row r="1">
      <x:c r="A1" s="18" t="str">
        <x:v>Profile #</x:v>
      </x:c>
      <x:c r="B1" s="18" t="str">
        <x:v>Hotel</x:v>
      </x:c>
      <x:c r="C1" s="18" t="str">
        <x:v>City, Country</x:v>
      </x:c>
      <x:c r="D1" s="18" t="str">
        <x:v>Budget tier</x:v>
      </x:c>
      <x:c r="E1" s="18" t="str">
        <x:v>Hotel type</x:v>
      </x:c>
      <x:c r="F1" s="18" t="str">
        <x:v>Five-star status</x:v>
      </x:c>
      <x:c r="G1" s="18" t="str">
        <x:v>Best for</x:v>
      </x:c>
      <x:c r="H1" s="18" t="str">
        <x:v>Why it is interesting</x:v>
      </x:c>
      <x:c r="I1" s="18" t="str">
        <x:v>Why it is good value</x:v>
      </x:c>
      <x:c r="J1" s="18" t="str">
        <x:v>Price notes</x:v>
      </x:c>
      <x:c r="K1" s="18" t="str">
        <x:v>Location and nearby sights</x:v>
      </x:c>
      <x:c r="L1" s="18" t="str">
        <x:v>Food and things to do nearby</x:v>
      </x:c>
      <x:c r="M1" s="18" t="str">
        <x:v>Best time to book</x:v>
      </x:c>
      <x:c r="N1" s="18" t="str">
        <x:v>Watch out for</x:v>
      </x:c>
      <x:c r="O1" s="18" t="str">
        <x:v>Verdict / one-sentence conclusion</x:v>
      </x:c>
      <x:c r="P1" s="18" t="str">
        <x:v>Primary source URLs</x:v>
      </x:c>
    </x:row>
    <x:row r="2">
      <x:c r="A2" t="n">
        <x:v>1</x:v>
      </x:c>
      <x:c r="B2" t="str">
        <x:v>Angkor Aurora</x:v>
      </x:c>
      <x:c r="C2" t="str">
        <x:v>Siem Reap, Cambodia</x:v>
      </x:c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</x:row>
    <x:row r="3">
      <x:c r="A3" t="n">
        <x:v>2</x:v>
      </x:c>
      <x:c r="B3" t="str">
        <x:v>Malak Regency Hotel</x:v>
      </x:c>
      <x:c r="C3" t="str">
        <x:v>Sarajevo, Bosnia and Herzegovina</x:v>
      </x:c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</x:row>
    <x:row r="4">
      <x:c r="A4" t="n">
        <x:v>3</x:v>
      </x:c>
      <x:c r="B4" t="str">
        <x:v>Meliá Yangon</x:v>
      </x:c>
      <x:c r="C4" t="str">
        <x:v>Yangon, Myanmar</x:v>
      </x:c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</x:row>
    <x:row r="5">
      <x:c r="A5" t="n">
        <x:v>4</x:v>
      </x:c>
      <x:c r="B5" t="str">
        <x:v>The Raweekanlaya Bangkok Wellness Cuisine Resort</x:v>
      </x:c>
      <x:c r="C5" t="str">
        <x:v>Bangkok, Thailand</x:v>
      </x:c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</x:row>
    <x:row r="6">
      <x:c r="A6" t="n">
        <x:v>5</x:v>
      </x:c>
      <x:c r="B6" t="str">
        <x:v>Hotel Majapahit Surabaya – MGallery</x:v>
      </x:c>
      <x:c r="C6" t="str">
        <x:v>Surabaya, Indonesia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</x:row>
    <x:row r="7">
      <x:c r="A7" t="n">
        <x:v>6</x:v>
      </x:c>
      <x:c r="B7" t="str">
        <x:v>The Phoenix Hotel Yogyakarta – Handwritten Collection</x:v>
      </x:c>
      <x:c r="C7" t="str">
        <x:v>Yogyakarta, Indonesia</x:v>
      </x:c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</x:row>
    <x:row r="8">
      <x:c r="A8" t="n">
        <x:v>7</x:v>
      </x:c>
      <x:c r="B8" t="str">
        <x:v>The Royal Surakarta Heritage – Handwritten Collection</x:v>
      </x:c>
      <x:c r="C8" t="str">
        <x:v>Solo, Indonesia</x:v>
      </x:c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</x:row>
    <x:row r="9">
      <x:c r="A9" t="n">
        <x:v>8</x:v>
      </x:c>
      <x:c r="B9" t="str">
        <x:v>Grand Mercure Medan Angkasa</x:v>
      </x:c>
      <x:c r="C9" t="str">
        <x:v>Medan, Indonesia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</x:row>
    <x:row r="10">
      <x:c r="A10" t="n">
        <x:v>9</x:v>
      </x:c>
      <x:c r="B10" t="str">
        <x:v>Boton Blue Hotel &amp; Spa</x:v>
      </x:c>
      <x:c r="C10" t="str">
        <x:v>Nha Trang, Vietnam</x:v>
      </x:c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</x:row>
    <x:row r="11">
      <x:c r="A11" t="n">
        <x:v>10</x:v>
      </x:c>
      <x:c r="B11" t="str">
        <x:v>Silk Path Hotel</x:v>
      </x:c>
      <x:c r="C11" t="str">
        <x:v>Hue, Vietnam</x:v>
      </x:c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</x:row>
    <x:row r="12">
      <x:c r="A12" t="n">
        <x:v>11</x:v>
      </x:c>
      <x:c r="B12" t="str">
        <x:v>Steigenberger Resort Achti</x:v>
      </x:c>
      <x:c r="C12" t="str">
        <x:v>Luxor, Egypt</x:v>
      </x:c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</x:row>
    <x:row r="13">
      <x:c r="A13" t="n">
        <x:v>12</x:v>
      </x:c>
      <x:c r="B13" t="str">
        <x:v>Pleiada Boutique Hotel &amp; Spa</x:v>
      </x:c>
      <x:c r="C13" t="str">
        <x:v>Iași, Romania</x:v>
      </x:c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</x:row>
    <x:row r="14">
      <x:c r="A14" t="n">
        <x:v>13</x:v>
      </x:c>
      <x:c r="B14" t="str">
        <x:v>I’M Hotel</x:v>
      </x:c>
      <x:c r="C14" t="str">
        <x:v>Makati, Philippines</x:v>
      </x:c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</x:row>
    <x:row r="15">
      <x:c r="A15" t="n">
        <x:v>14</x:v>
      </x:c>
      <x:c r="B15" t="str">
        <x:v>NH Collection Bogotá WTC Royal</x:v>
      </x:c>
      <x:c r="C15" t="str">
        <x:v>Bogotá, Colombia</x:v>
      </x:c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</x:row>
    <x:row r="16">
      <x:c r="A16" t="n">
        <x:v>15</x:v>
      </x:c>
      <x:c r="B16" t="str">
        <x:v>Novotel Ahmedabad</x:v>
      </x:c>
      <x:c r="C16" t="str">
        <x:v>Ahmedabad, India</x:v>
      </x:c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</x:row>
    <x:row r="17">
      <x:c r="A17" t="n">
        <x:v>16</x:v>
      </x:c>
      <x:c r="B17" t="str">
        <x:v>Mandarin Colombo</x:v>
      </x:c>
      <x:c r="C17" t="str">
        <x:v>Colombo, Sri Lanka</x:v>
      </x:c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</x:row>
    <x:row r="18">
      <x:c r="A18" t="n">
        <x:v>17</x:v>
      </x:c>
      <x:c r="B18" t="str">
        <x:v>Millennium Downtown</x:v>
      </x:c>
      <x:c r="C18" t="str">
        <x:v>Abu Dhabi, UAE</x:v>
      </x:c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n">
        <x:v>18</x:v>
      </x:c>
      <x:c r="B19" t="str">
        <x:v>Real Marina Hotel &amp; Spa</x:v>
      </x:c>
      <x:c r="C19" t="str">
        <x:v>Olhão, Portugal</x:v>
      </x:c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n">
        <x:v>19</x:v>
      </x:c>
      <x:c r="B20" t="str">
        <x:v>Graffit Gallery Design Hotel</x:v>
      </x:c>
      <x:c r="C20" t="str">
        <x:v>Varna, Bulgaria</x:v>
      </x:c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n">
        <x:v>20</x:v>
      </x:c>
      <x:c r="B21" t="str">
        <x:v>Best Kuala Lumpur five-star candidate</x:v>
      </x:c>
      <x:c r="C21" t="str">
        <x:v>Kuala Lumpur, Malaysia</x:v>
      </x:c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n">
        <x:v>21</x:v>
      </x:c>
      <x:c r="B22" t="str">
        <x:v>Best Jakarta five-star candidate</x:v>
      </x:c>
      <x:c r="C22" t="str">
        <x:v>Jakarta, Indonesia</x:v>
      </x:c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n">
        <x:v>22</x:v>
      </x:c>
      <x:c r="B23" t="str">
        <x:v>Best Tbilisi five-star candidate</x:v>
      </x:c>
      <x:c r="C23" t="str">
        <x:v>Tbilisi, Georgia</x:v>
      </x:c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n">
        <x:v>23</x:v>
      </x:c>
      <x:c r="B24" t="str">
        <x:v>Best Yerevan five-star candidate</x:v>
      </x:c>
      <x:c r="C24" t="str">
        <x:v>Yerevan, Armenia</x:v>
      </x:c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n">
        <x:v>24</x:v>
      </x:c>
      <x:c r="B25" t="str">
        <x:v>Best Tashkent five-star candidate</x:v>
      </x:c>
      <x:c r="C25" t="str">
        <x:v>Tashkent, Uzbekistan</x:v>
      </x:c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n">
        <x:v>25</x:v>
      </x:c>
      <x:c r="B26" t="str">
        <x:v>Best Marrakech five-star candidate</x:v>
      </x:c>
      <x:c r="C26" t="str">
        <x:v>Marrakech, Morocco</x:v>
      </x:c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</x:sheetData>
  <x:pageMargins left="0.7" right="0.7" top="0.75" bottom="0.75" header="0.3" footer="0.3"/>
  <x:tableParts count="1">
    <x:tablePart xmlns:r="http://schemas.openxmlformats.org/officeDocument/2006/relationships" r:id="Rd8f6b469d696436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4" hidden="0" customWidth="1"/>
    <x:col min="4" max="4" width="58" hidden="0" customWidth="1"/>
    <x:col min="5" max="5" width="14" hidden="0" customWidth="1"/>
    <x:col min="6" max="6" width="55" hidden="0" customWidth="1"/>
    <x:col min="7" max="7" width="35" hidden="0" customWidth="1"/>
    <x:col min="8" max="8" width="14" hidden="0" customWidth="1"/>
  </x:cols>
  <x:sheetData>
    <x:row r="1">
      <x:c r="A1" s="18" t="str">
        <x:v>Hotel</x:v>
      </x:c>
      <x:c r="B1" s="18" t="str">
        <x:v>Source type</x:v>
      </x:c>
      <x:c r="C1" s="18" t="str">
        <x:v>Platform / source</x:v>
      </x:c>
      <x:c r="D1" s="18" t="str">
        <x:v>URL</x:v>
      </x:c>
      <x:c r="E1" s="18" t="str">
        <x:v>Date checked</x:v>
      </x:c>
      <x:c r="F1" s="18" t="str">
        <x:v>Observed claim / data point</x:v>
      </x:c>
      <x:c r="G1" s="18" t="str">
        <x:v>Notes</x:v>
      </x:c>
      <x:c r="H1" s="18" t="str">
        <x:v>Needs re-check?</x:v>
      </x:c>
    </x:row>
    <x:row r="2">
      <x:c r="A2" t="str">
        <x:v>Angkor Aurora</x:v>
      </x:c>
      <x:c r="B2" t="str">
        <x:v>Star rating</x:v>
      </x:c>
      <x:c r="C2" t="str"/>
      <x:c r="D2" t="str"/>
      <x:c r="E2" t="str"/>
      <x:c r="F2" t="str"/>
      <x:c r="G2" t="str"/>
      <x:c r="H2" t="str">
        <x:v>Yes</x:v>
      </x:c>
    </x:row>
    <x:row r="3">
      <x:c r="A3" t="str">
        <x:v>Angkor Aurora</x:v>
      </x:c>
      <x:c r="B3" t="str">
        <x:v>Price</x:v>
      </x:c>
      <x:c r="C3" t="str"/>
      <x:c r="D3" t="str"/>
      <x:c r="E3" t="str"/>
      <x:c r="F3" t="str"/>
      <x:c r="G3" t="str"/>
      <x:c r="H3" t="str">
        <x:v>Yes</x:v>
      </x:c>
    </x:row>
    <x:row r="4">
      <x:c r="A4" t="str">
        <x:v>Angkor Aurora</x:v>
      </x:c>
      <x:c r="B4" t="str">
        <x:v>Reviews</x:v>
      </x:c>
      <x:c r="C4" t="str"/>
      <x:c r="D4" t="str"/>
      <x:c r="E4" t="str"/>
      <x:c r="F4" t="str"/>
      <x:c r="G4" t="str"/>
      <x:c r="H4" t="str">
        <x:v>Yes</x:v>
      </x:c>
    </x:row>
    <x:row r="5">
      <x:c r="A5" t="str">
        <x:v>Angkor Aurora</x:v>
      </x:c>
      <x:c r="B5" t="str">
        <x:v>Nearby sights</x:v>
      </x:c>
      <x:c r="C5" t="str"/>
      <x:c r="D5" t="str"/>
      <x:c r="E5" t="str"/>
      <x:c r="F5" t="str"/>
      <x:c r="G5" t="str"/>
      <x:c r="H5" t="str">
        <x:v>Yes</x:v>
      </x:c>
    </x:row>
    <x:row r="6">
      <x:c r="A6" t="str">
        <x:v>Angkor Aurora</x:v>
      </x:c>
      <x:c r="B6" t="str">
        <x:v>Food / restaurants</x:v>
      </x:c>
      <x:c r="C6" t="str"/>
      <x:c r="D6" t="str"/>
      <x:c r="E6" t="str"/>
      <x:c r="F6" t="str"/>
      <x:c r="G6" t="str"/>
      <x:c r="H6" t="str">
        <x:v>Yes</x:v>
      </x:c>
    </x:row>
    <x:row r="7">
      <x:c r="A7" t="str">
        <x:v>Malak Regency Hotel</x:v>
      </x:c>
      <x:c r="B7" t="str">
        <x:v>Star rating</x:v>
      </x:c>
      <x:c r="C7" t="str"/>
      <x:c r="D7" t="str"/>
      <x:c r="E7" t="str"/>
      <x:c r="F7" t="str"/>
      <x:c r="G7" t="str"/>
      <x:c r="H7" t="str">
        <x:v>Yes</x:v>
      </x:c>
    </x:row>
    <x:row r="8">
      <x:c r="A8" t="str">
        <x:v>Malak Regency Hotel</x:v>
      </x:c>
      <x:c r="B8" t="str">
        <x:v>Price</x:v>
      </x:c>
      <x:c r="C8" t="str"/>
      <x:c r="D8" t="str"/>
      <x:c r="E8" t="str"/>
      <x:c r="F8" t="str"/>
      <x:c r="G8" t="str"/>
      <x:c r="H8" t="str">
        <x:v>Yes</x:v>
      </x:c>
    </x:row>
    <x:row r="9">
      <x:c r="A9" t="str">
        <x:v>Malak Regency Hotel</x:v>
      </x:c>
      <x:c r="B9" t="str">
        <x:v>Reviews</x:v>
      </x:c>
      <x:c r="C9" t="str"/>
      <x:c r="D9" t="str"/>
      <x:c r="E9" t="str"/>
      <x:c r="F9" t="str"/>
      <x:c r="G9" t="str"/>
      <x:c r="H9" t="str">
        <x:v>Yes</x:v>
      </x:c>
    </x:row>
    <x:row r="10">
      <x:c r="A10" t="str">
        <x:v>Malak Regency Hotel</x:v>
      </x:c>
      <x:c r="B10" t="str">
        <x:v>Nearby sights</x:v>
      </x:c>
      <x:c r="C10" t="str"/>
      <x:c r="D10" t="str"/>
      <x:c r="E10" t="str"/>
      <x:c r="F10" t="str"/>
      <x:c r="G10" t="str"/>
      <x:c r="H10" t="str">
        <x:v>Yes</x:v>
      </x:c>
    </x:row>
    <x:row r="11">
      <x:c r="A11" t="str">
        <x:v>Malak Regency Hotel</x:v>
      </x:c>
      <x:c r="B11" t="str">
        <x:v>Food / restaurants</x:v>
      </x:c>
      <x:c r="C11" t="str"/>
      <x:c r="D11" t="str"/>
      <x:c r="E11" t="str"/>
      <x:c r="F11" t="str"/>
      <x:c r="G11" t="str"/>
      <x:c r="H11" t="str">
        <x:v>Yes</x:v>
      </x:c>
    </x:row>
    <x:row r="12">
      <x:c r="A12" t="str">
        <x:v>Meliá Yangon</x:v>
      </x:c>
      <x:c r="B12" t="str">
        <x:v>Star rating</x:v>
      </x:c>
      <x:c r="C12" t="str"/>
      <x:c r="D12" t="str"/>
      <x:c r="E12" t="str"/>
      <x:c r="F12" t="str"/>
      <x:c r="G12" t="str"/>
      <x:c r="H12" t="str">
        <x:v>Yes</x:v>
      </x:c>
    </x:row>
    <x:row r="13">
      <x:c r="A13" t="str">
        <x:v>Meliá Yangon</x:v>
      </x:c>
      <x:c r="B13" t="str">
        <x:v>Price</x:v>
      </x:c>
      <x:c r="C13" t="str"/>
      <x:c r="D13" t="str"/>
      <x:c r="E13" t="str"/>
      <x:c r="F13" t="str"/>
      <x:c r="G13" t="str"/>
      <x:c r="H13" t="str">
        <x:v>Yes</x:v>
      </x:c>
    </x:row>
    <x:row r="14">
      <x:c r="A14" t="str">
        <x:v>Meliá Yangon</x:v>
      </x:c>
      <x:c r="B14" t="str">
        <x:v>Reviews</x:v>
      </x:c>
      <x:c r="C14" t="str"/>
      <x:c r="D14" t="str"/>
      <x:c r="E14" t="str"/>
      <x:c r="F14" t="str"/>
      <x:c r="G14" t="str"/>
      <x:c r="H14" t="str">
        <x:v>Yes</x:v>
      </x:c>
    </x:row>
    <x:row r="15">
      <x:c r="A15" t="str">
        <x:v>Meliá Yangon</x:v>
      </x:c>
      <x:c r="B15" t="str">
        <x:v>Nearby sights</x:v>
      </x:c>
      <x:c r="C15" t="str"/>
      <x:c r="D15" t="str"/>
      <x:c r="E15" t="str"/>
      <x:c r="F15" t="str"/>
      <x:c r="G15" t="str"/>
      <x:c r="H15" t="str">
        <x:v>Yes</x:v>
      </x:c>
    </x:row>
    <x:row r="16">
      <x:c r="A16" t="str">
        <x:v>Meliá Yangon</x:v>
      </x:c>
      <x:c r="B16" t="str">
        <x:v>Food / restaurants</x:v>
      </x:c>
      <x:c r="C16" t="str"/>
      <x:c r="D16" t="str"/>
      <x:c r="E16" t="str"/>
      <x:c r="F16" t="str"/>
      <x:c r="G16" t="str"/>
      <x:c r="H16" t="str">
        <x:v>Yes</x:v>
      </x:c>
    </x:row>
    <x:row r="17">
      <x:c r="A17" t="str">
        <x:v>The Raweekanlaya Bangkok Wellness Cuisine Resort</x:v>
      </x:c>
      <x:c r="B17" t="str">
        <x:v>Star rating</x:v>
      </x:c>
      <x:c r="C17" t="str"/>
      <x:c r="D17" t="str"/>
      <x:c r="E17" t="str"/>
      <x:c r="F17" t="str"/>
      <x:c r="G17" t="str"/>
      <x:c r="H17" t="str">
        <x:v>Yes</x:v>
      </x:c>
    </x:row>
    <x:row r="18">
      <x:c r="A18" t="str">
        <x:v>The Raweekanlaya Bangkok Wellness Cuisine Resort</x:v>
      </x:c>
      <x:c r="B18" t="str">
        <x:v>Price</x:v>
      </x:c>
      <x:c r="C18" t="str"/>
      <x:c r="D18" t="str"/>
      <x:c r="E18" t="str"/>
      <x:c r="F18" t="str"/>
      <x:c r="G18" t="str"/>
      <x:c r="H18" t="str">
        <x:v>Yes</x:v>
      </x:c>
    </x:row>
    <x:row r="19">
      <x:c r="A19" t="str">
        <x:v>The Raweekanlaya Bangkok Wellness Cuisine Resort</x:v>
      </x:c>
      <x:c r="B19" t="str">
        <x:v>Reviews</x:v>
      </x:c>
      <x:c r="C19" t="str"/>
      <x:c r="D19" t="str"/>
      <x:c r="E19" t="str"/>
      <x:c r="F19" t="str"/>
      <x:c r="G19" t="str"/>
      <x:c r="H19" t="str">
        <x:v>Yes</x:v>
      </x:c>
    </x:row>
    <x:row r="20">
      <x:c r="A20" t="str">
        <x:v>The Raweekanlaya Bangkok Wellness Cuisine Resort</x:v>
      </x:c>
      <x:c r="B20" t="str">
        <x:v>Nearby sights</x:v>
      </x:c>
      <x:c r="C20" t="str"/>
      <x:c r="D20" t="str"/>
      <x:c r="E20" t="str"/>
      <x:c r="F20" t="str"/>
      <x:c r="G20" t="str"/>
      <x:c r="H20" t="str">
        <x:v>Yes</x:v>
      </x:c>
    </x:row>
    <x:row r="21">
      <x:c r="A21" t="str">
        <x:v>The Raweekanlaya Bangkok Wellness Cuisine Resort</x:v>
      </x:c>
      <x:c r="B21" t="str">
        <x:v>Food / restaurants</x:v>
      </x:c>
      <x:c r="C21" t="str"/>
      <x:c r="D21" t="str"/>
      <x:c r="E21" t="str"/>
      <x:c r="F21" t="str"/>
      <x:c r="G21" t="str"/>
      <x:c r="H21" t="str">
        <x:v>Yes</x:v>
      </x:c>
    </x:row>
    <x:row r="22">
      <x:c r="A22" t="str">
        <x:v>Hotel Majapahit Surabaya – MGallery</x:v>
      </x:c>
      <x:c r="B22" t="str">
        <x:v>Star rating</x:v>
      </x:c>
      <x:c r="C22" t="str"/>
      <x:c r="D22" t="str"/>
      <x:c r="E22" t="str"/>
      <x:c r="F22" t="str"/>
      <x:c r="G22" t="str"/>
      <x:c r="H22" t="str">
        <x:v>Yes</x:v>
      </x:c>
    </x:row>
    <x:row r="23">
      <x:c r="A23" t="str">
        <x:v>Hotel Majapahit Surabaya – MGallery</x:v>
      </x:c>
      <x:c r="B23" t="str">
        <x:v>Price</x:v>
      </x:c>
      <x:c r="C23" t="str"/>
      <x:c r="D23" t="str"/>
      <x:c r="E23" t="str"/>
      <x:c r="F23" t="str"/>
      <x:c r="G23" t="str"/>
      <x:c r="H23" t="str">
        <x:v>Yes</x:v>
      </x:c>
    </x:row>
    <x:row r="24">
      <x:c r="A24" t="str">
        <x:v>Hotel Majapahit Surabaya – MGallery</x:v>
      </x:c>
      <x:c r="B24" t="str">
        <x:v>Reviews</x:v>
      </x:c>
      <x:c r="C24" t="str"/>
      <x:c r="D24" t="str"/>
      <x:c r="E24" t="str"/>
      <x:c r="F24" t="str"/>
      <x:c r="G24" t="str"/>
      <x:c r="H24" t="str">
        <x:v>Yes</x:v>
      </x:c>
    </x:row>
    <x:row r="25">
      <x:c r="A25" t="str">
        <x:v>Hotel Majapahit Surabaya – MGallery</x:v>
      </x:c>
      <x:c r="B25" t="str">
        <x:v>Nearby sights</x:v>
      </x:c>
      <x:c r="C25" t="str"/>
      <x:c r="D25" t="str"/>
      <x:c r="E25" t="str"/>
      <x:c r="F25" t="str"/>
      <x:c r="G25" t="str"/>
      <x:c r="H25" t="str">
        <x:v>Yes</x:v>
      </x:c>
    </x:row>
    <x:row r="26">
      <x:c r="A26" t="str">
        <x:v>Hotel Majapahit Surabaya – MGallery</x:v>
      </x:c>
      <x:c r="B26" t="str">
        <x:v>Food / restaurants</x:v>
      </x:c>
      <x:c r="C26" t="str"/>
      <x:c r="D26" t="str"/>
      <x:c r="E26" t="str"/>
      <x:c r="F26" t="str"/>
      <x:c r="G26" t="str"/>
      <x:c r="H26" t="str">
        <x:v>Yes</x:v>
      </x:c>
    </x:row>
    <x:row r="27">
      <x:c r="A27" t="str">
        <x:v>The Phoenix Hotel Yogyakarta – Handwritten Collection</x:v>
      </x:c>
      <x:c r="B27" t="str">
        <x:v>Star rating</x:v>
      </x:c>
      <x:c r="C27" t="str"/>
      <x:c r="D27" t="str"/>
      <x:c r="E27" t="str"/>
      <x:c r="F27" t="str"/>
      <x:c r="G27" t="str"/>
      <x:c r="H27" t="str">
        <x:v>Yes</x:v>
      </x:c>
    </x:row>
    <x:row r="28">
      <x:c r="A28" t="str">
        <x:v>The Phoenix Hotel Yogyakarta – Handwritten Collection</x:v>
      </x:c>
      <x:c r="B28" t="str">
        <x:v>Price</x:v>
      </x:c>
      <x:c r="C28" t="str"/>
      <x:c r="D28" t="str"/>
      <x:c r="E28" t="str"/>
      <x:c r="F28" t="str"/>
      <x:c r="G28" t="str"/>
      <x:c r="H28" t="str">
        <x:v>Yes</x:v>
      </x:c>
    </x:row>
    <x:row r="29">
      <x:c r="A29" t="str">
        <x:v>The Phoenix Hotel Yogyakarta – Handwritten Collection</x:v>
      </x:c>
      <x:c r="B29" t="str">
        <x:v>Reviews</x:v>
      </x:c>
      <x:c r="C29" t="str"/>
      <x:c r="D29" t="str"/>
      <x:c r="E29" t="str"/>
      <x:c r="F29" t="str"/>
      <x:c r="G29" t="str"/>
      <x:c r="H29" t="str">
        <x:v>Yes</x:v>
      </x:c>
    </x:row>
    <x:row r="30">
      <x:c r="A30" t="str">
        <x:v>The Phoenix Hotel Yogyakarta – Handwritten Collection</x:v>
      </x:c>
      <x:c r="B30" t="str">
        <x:v>Nearby sights</x:v>
      </x:c>
      <x:c r="C30" t="str"/>
      <x:c r="D30" t="str"/>
      <x:c r="E30" t="str"/>
      <x:c r="F30" t="str"/>
      <x:c r="G30" t="str"/>
      <x:c r="H30" t="str">
        <x:v>Yes</x:v>
      </x:c>
    </x:row>
    <x:row r="31">
      <x:c r="A31" t="str">
        <x:v>The Phoenix Hotel Yogyakarta – Handwritten Collection</x:v>
      </x:c>
      <x:c r="B31" t="str">
        <x:v>Food / restaurants</x:v>
      </x:c>
      <x:c r="C31" t="str"/>
      <x:c r="D31" t="str"/>
      <x:c r="E31" t="str"/>
      <x:c r="F31" t="str"/>
      <x:c r="G31" t="str"/>
      <x:c r="H31" t="str">
        <x:v>Yes</x:v>
      </x:c>
    </x:row>
    <x:row r="32">
      <x:c r="A32" t="str">
        <x:v>The Royal Surakarta Heritage – Handwritten Collection</x:v>
      </x:c>
      <x:c r="B32" t="str">
        <x:v>Star rating</x:v>
      </x:c>
      <x:c r="C32" t="str"/>
      <x:c r="D32" t="str"/>
      <x:c r="E32" t="str"/>
      <x:c r="F32" t="str"/>
      <x:c r="G32" t="str"/>
      <x:c r="H32" t="str">
        <x:v>Yes</x:v>
      </x:c>
    </x:row>
    <x:row r="33">
      <x:c r="A33" t="str">
        <x:v>The Royal Surakarta Heritage – Handwritten Collection</x:v>
      </x:c>
      <x:c r="B33" t="str">
        <x:v>Price</x:v>
      </x:c>
      <x:c r="C33" t="str"/>
      <x:c r="D33" t="str"/>
      <x:c r="E33" t="str"/>
      <x:c r="F33" t="str"/>
      <x:c r="G33" t="str"/>
      <x:c r="H33" t="str">
        <x:v>Yes</x:v>
      </x:c>
    </x:row>
    <x:row r="34">
      <x:c r="A34" t="str">
        <x:v>The Royal Surakarta Heritage – Handwritten Collection</x:v>
      </x:c>
      <x:c r="B34" t="str">
        <x:v>Reviews</x:v>
      </x:c>
      <x:c r="C34" t="str"/>
      <x:c r="D34" t="str"/>
      <x:c r="E34" t="str"/>
      <x:c r="F34" t="str"/>
      <x:c r="G34" t="str"/>
      <x:c r="H34" t="str">
        <x:v>Yes</x:v>
      </x:c>
    </x:row>
    <x:row r="35">
      <x:c r="A35" t="str">
        <x:v>The Royal Surakarta Heritage – Handwritten Collection</x:v>
      </x:c>
      <x:c r="B35" t="str">
        <x:v>Nearby sights</x:v>
      </x:c>
      <x:c r="C35" t="str"/>
      <x:c r="D35" t="str"/>
      <x:c r="E35" t="str"/>
      <x:c r="F35" t="str"/>
      <x:c r="G35" t="str"/>
      <x:c r="H35" t="str">
        <x:v>Yes</x:v>
      </x:c>
    </x:row>
    <x:row r="36">
      <x:c r="A36" t="str">
        <x:v>The Royal Surakarta Heritage – Handwritten Collection</x:v>
      </x:c>
      <x:c r="B36" t="str">
        <x:v>Food / restaurants</x:v>
      </x:c>
      <x:c r="C36" t="str"/>
      <x:c r="D36" t="str"/>
      <x:c r="E36" t="str"/>
      <x:c r="F36" t="str"/>
      <x:c r="G36" t="str"/>
      <x:c r="H36" t="str">
        <x:v>Yes</x:v>
      </x:c>
    </x:row>
    <x:row r="37">
      <x:c r="A37" t="str">
        <x:v>Grand Mercure Medan Angkasa</x:v>
      </x:c>
      <x:c r="B37" t="str">
        <x:v>Star rating</x:v>
      </x:c>
      <x:c r="C37" t="str"/>
      <x:c r="D37" t="str"/>
      <x:c r="E37" t="str"/>
      <x:c r="F37" t="str"/>
      <x:c r="G37" t="str"/>
      <x:c r="H37" t="str">
        <x:v>Yes</x:v>
      </x:c>
    </x:row>
    <x:row r="38">
      <x:c r="A38" t="str">
        <x:v>Grand Mercure Medan Angkasa</x:v>
      </x:c>
      <x:c r="B38" t="str">
        <x:v>Price</x:v>
      </x:c>
      <x:c r="C38" t="str"/>
      <x:c r="D38" t="str"/>
      <x:c r="E38" t="str"/>
      <x:c r="F38" t="str"/>
      <x:c r="G38" t="str"/>
      <x:c r="H38" t="str">
        <x:v>Yes</x:v>
      </x:c>
    </x:row>
    <x:row r="39">
      <x:c r="A39" t="str">
        <x:v>Grand Mercure Medan Angkasa</x:v>
      </x:c>
      <x:c r="B39" t="str">
        <x:v>Reviews</x:v>
      </x:c>
      <x:c r="C39" t="str"/>
      <x:c r="D39" t="str"/>
      <x:c r="E39" t="str"/>
      <x:c r="F39" t="str"/>
      <x:c r="G39" t="str"/>
      <x:c r="H39" t="str">
        <x:v>Yes</x:v>
      </x:c>
    </x:row>
    <x:row r="40">
      <x:c r="A40" t="str">
        <x:v>Grand Mercure Medan Angkasa</x:v>
      </x:c>
      <x:c r="B40" t="str">
        <x:v>Nearby sights</x:v>
      </x:c>
      <x:c r="C40" t="str"/>
      <x:c r="D40" t="str"/>
      <x:c r="E40" t="str"/>
      <x:c r="F40" t="str"/>
      <x:c r="G40" t="str"/>
      <x:c r="H40" t="str">
        <x:v>Yes</x:v>
      </x:c>
    </x:row>
    <x:row r="41">
      <x:c r="A41" t="str">
        <x:v>Grand Mercure Medan Angkasa</x:v>
      </x:c>
      <x:c r="B41" t="str">
        <x:v>Food / restaurants</x:v>
      </x:c>
      <x:c r="C41" t="str"/>
      <x:c r="D41" t="str"/>
      <x:c r="E41" t="str"/>
      <x:c r="F41" t="str"/>
      <x:c r="G41" t="str"/>
      <x:c r="H41" t="str">
        <x:v>Yes</x:v>
      </x:c>
    </x:row>
    <x:row r="42">
      <x:c r="A42" t="str">
        <x:v>Boton Blue Hotel &amp; Spa</x:v>
      </x:c>
      <x:c r="B42" t="str">
        <x:v>Star rating</x:v>
      </x:c>
      <x:c r="C42" t="str"/>
      <x:c r="D42" t="str"/>
      <x:c r="E42" t="str"/>
      <x:c r="F42" t="str"/>
      <x:c r="G42" t="str"/>
      <x:c r="H42" t="str">
        <x:v>Yes</x:v>
      </x:c>
    </x:row>
    <x:row r="43">
      <x:c r="A43" t="str">
        <x:v>Boton Blue Hotel &amp; Spa</x:v>
      </x:c>
      <x:c r="B43" t="str">
        <x:v>Price</x:v>
      </x:c>
      <x:c r="C43" t="str"/>
      <x:c r="D43" t="str"/>
      <x:c r="E43" t="str"/>
      <x:c r="F43" t="str"/>
      <x:c r="G43" t="str"/>
      <x:c r="H43" t="str">
        <x:v>Yes</x:v>
      </x:c>
    </x:row>
    <x:row r="44">
      <x:c r="A44" t="str">
        <x:v>Boton Blue Hotel &amp; Spa</x:v>
      </x:c>
      <x:c r="B44" t="str">
        <x:v>Reviews</x:v>
      </x:c>
      <x:c r="C44" t="str"/>
      <x:c r="D44" t="str"/>
      <x:c r="E44" t="str"/>
      <x:c r="F44" t="str"/>
      <x:c r="G44" t="str"/>
      <x:c r="H44" t="str">
        <x:v>Yes</x:v>
      </x:c>
    </x:row>
    <x:row r="45">
      <x:c r="A45" t="str">
        <x:v>Boton Blue Hotel &amp; Spa</x:v>
      </x:c>
      <x:c r="B45" t="str">
        <x:v>Nearby sights</x:v>
      </x:c>
      <x:c r="C45" t="str"/>
      <x:c r="D45" t="str"/>
      <x:c r="E45" t="str"/>
      <x:c r="F45" t="str"/>
      <x:c r="G45" t="str"/>
      <x:c r="H45" t="str">
        <x:v>Yes</x:v>
      </x:c>
    </x:row>
    <x:row r="46">
      <x:c r="A46" t="str">
        <x:v>Boton Blue Hotel &amp; Spa</x:v>
      </x:c>
      <x:c r="B46" t="str">
        <x:v>Food / restaurants</x:v>
      </x:c>
      <x:c r="C46" t="str"/>
      <x:c r="D46" t="str"/>
      <x:c r="E46" t="str"/>
      <x:c r="F46" t="str"/>
      <x:c r="G46" t="str"/>
      <x:c r="H46" t="str">
        <x:v>Yes</x:v>
      </x:c>
    </x:row>
    <x:row r="47">
      <x:c r="A47" t="str">
        <x:v>Silk Path Hotel</x:v>
      </x:c>
      <x:c r="B47" t="str">
        <x:v>Star rating</x:v>
      </x:c>
      <x:c r="C47" t="str"/>
      <x:c r="D47" t="str"/>
      <x:c r="E47" t="str"/>
      <x:c r="F47" t="str"/>
      <x:c r="G47" t="str"/>
      <x:c r="H47" t="str">
        <x:v>Yes</x:v>
      </x:c>
    </x:row>
    <x:row r="48">
      <x:c r="A48" t="str">
        <x:v>Silk Path Hotel</x:v>
      </x:c>
      <x:c r="B48" t="str">
        <x:v>Price</x:v>
      </x:c>
      <x:c r="C48" t="str"/>
      <x:c r="D48" t="str"/>
      <x:c r="E48" t="str"/>
      <x:c r="F48" t="str"/>
      <x:c r="G48" t="str"/>
      <x:c r="H48" t="str">
        <x:v>Yes</x:v>
      </x:c>
    </x:row>
    <x:row r="49">
      <x:c r="A49" t="str">
        <x:v>Silk Path Hotel</x:v>
      </x:c>
      <x:c r="B49" t="str">
        <x:v>Reviews</x:v>
      </x:c>
      <x:c r="C49" t="str"/>
      <x:c r="D49" t="str"/>
      <x:c r="E49" t="str"/>
      <x:c r="F49" t="str"/>
      <x:c r="G49" t="str"/>
      <x:c r="H49" t="str">
        <x:v>Yes</x:v>
      </x:c>
    </x:row>
    <x:row r="50">
      <x:c r="A50" t="str">
        <x:v>Silk Path Hotel</x:v>
      </x:c>
      <x:c r="B50" t="str">
        <x:v>Nearby sights</x:v>
      </x:c>
      <x:c r="C50" t="str"/>
      <x:c r="D50" t="str"/>
      <x:c r="E50" t="str"/>
      <x:c r="F50" t="str"/>
      <x:c r="G50" t="str"/>
      <x:c r="H50" t="str">
        <x:v>Yes</x:v>
      </x:c>
    </x:row>
    <x:row r="51">
      <x:c r="A51" t="str">
        <x:v>Silk Path Hotel</x:v>
      </x:c>
      <x:c r="B51" t="str">
        <x:v>Food / restaurants</x:v>
      </x:c>
      <x:c r="C51" t="str"/>
      <x:c r="D51" t="str"/>
      <x:c r="E51" t="str"/>
      <x:c r="F51" t="str"/>
      <x:c r="G51" t="str"/>
      <x:c r="H51" t="str">
        <x:v>Yes</x:v>
      </x:c>
    </x:row>
    <x:row r="52">
      <x:c r="A52" t="str">
        <x:v>Steigenberger Resort Achti</x:v>
      </x:c>
      <x:c r="B52" t="str">
        <x:v>Star rating</x:v>
      </x:c>
      <x:c r="C52" t="str"/>
      <x:c r="D52" t="str"/>
      <x:c r="E52" t="str"/>
      <x:c r="F52" t="str"/>
      <x:c r="G52" t="str"/>
      <x:c r="H52" t="str">
        <x:v>Yes</x:v>
      </x:c>
    </x:row>
    <x:row r="53">
      <x:c r="A53" t="str">
        <x:v>Steigenberger Resort Achti</x:v>
      </x:c>
      <x:c r="B53" t="str">
        <x:v>Price</x:v>
      </x:c>
      <x:c r="C53" t="str"/>
      <x:c r="D53" t="str"/>
      <x:c r="E53" t="str"/>
      <x:c r="F53" t="str"/>
      <x:c r="G53" t="str"/>
      <x:c r="H53" t="str">
        <x:v>Yes</x:v>
      </x:c>
    </x:row>
    <x:row r="54">
      <x:c r="A54" t="str">
        <x:v>Steigenberger Resort Achti</x:v>
      </x:c>
      <x:c r="B54" t="str">
        <x:v>Reviews</x:v>
      </x:c>
      <x:c r="C54" t="str"/>
      <x:c r="D54" t="str"/>
      <x:c r="E54" t="str"/>
      <x:c r="F54" t="str"/>
      <x:c r="G54" t="str"/>
      <x:c r="H54" t="str">
        <x:v>Yes</x:v>
      </x:c>
    </x:row>
    <x:row r="55">
      <x:c r="A55" t="str">
        <x:v>Steigenberger Resort Achti</x:v>
      </x:c>
      <x:c r="B55" t="str">
        <x:v>Nearby sights</x:v>
      </x:c>
      <x:c r="C55" t="str"/>
      <x:c r="D55" t="str"/>
      <x:c r="E55" t="str"/>
      <x:c r="F55" t="str"/>
      <x:c r="G55" t="str"/>
      <x:c r="H55" t="str">
        <x:v>Yes</x:v>
      </x:c>
    </x:row>
    <x:row r="56">
      <x:c r="A56" t="str">
        <x:v>Steigenberger Resort Achti</x:v>
      </x:c>
      <x:c r="B56" t="str">
        <x:v>Food / restaurants</x:v>
      </x:c>
      <x:c r="C56" t="str"/>
      <x:c r="D56" t="str"/>
      <x:c r="E56" t="str"/>
      <x:c r="F56" t="str"/>
      <x:c r="G56" t="str"/>
      <x:c r="H56" t="str">
        <x:v>Yes</x:v>
      </x:c>
    </x:row>
    <x:row r="57">
      <x:c r="A57" t="str">
        <x:v>Pleiada Boutique Hotel &amp; Spa</x:v>
      </x:c>
      <x:c r="B57" t="str">
        <x:v>Star rating</x:v>
      </x:c>
      <x:c r="C57" t="str"/>
      <x:c r="D57" t="str"/>
      <x:c r="E57" t="str"/>
      <x:c r="F57" t="str"/>
      <x:c r="G57" t="str"/>
      <x:c r="H57" t="str">
        <x:v>Yes</x:v>
      </x:c>
    </x:row>
    <x:row r="58">
      <x:c r="A58" t="str">
        <x:v>Pleiada Boutique Hotel &amp; Spa</x:v>
      </x:c>
      <x:c r="B58" t="str">
        <x:v>Price</x:v>
      </x:c>
      <x:c r="C58" t="str"/>
      <x:c r="D58" t="str"/>
      <x:c r="E58" t="str"/>
      <x:c r="F58" t="str"/>
      <x:c r="G58" t="str"/>
      <x:c r="H58" t="str">
        <x:v>Yes</x:v>
      </x:c>
    </x:row>
    <x:row r="59">
      <x:c r="A59" t="str">
        <x:v>Pleiada Boutique Hotel &amp; Spa</x:v>
      </x:c>
      <x:c r="B59" t="str">
        <x:v>Reviews</x:v>
      </x:c>
      <x:c r="C59" t="str"/>
      <x:c r="D59" t="str"/>
      <x:c r="E59" t="str"/>
      <x:c r="F59" t="str"/>
      <x:c r="G59" t="str"/>
      <x:c r="H59" t="str">
        <x:v>Yes</x:v>
      </x:c>
    </x:row>
    <x:row r="60">
      <x:c r="A60" t="str">
        <x:v>Pleiada Boutique Hotel &amp; Spa</x:v>
      </x:c>
      <x:c r="B60" t="str">
        <x:v>Nearby sights</x:v>
      </x:c>
      <x:c r="C60" t="str"/>
      <x:c r="D60" t="str"/>
      <x:c r="E60" t="str"/>
      <x:c r="F60" t="str"/>
      <x:c r="G60" t="str"/>
      <x:c r="H60" t="str">
        <x:v>Yes</x:v>
      </x:c>
    </x:row>
    <x:row r="61">
      <x:c r="A61" t="str">
        <x:v>Pleiada Boutique Hotel &amp; Spa</x:v>
      </x:c>
      <x:c r="B61" t="str">
        <x:v>Food / restaurants</x:v>
      </x:c>
      <x:c r="C61" t="str"/>
      <x:c r="D61" t="str"/>
      <x:c r="E61" t="str"/>
      <x:c r="F61" t="str"/>
      <x:c r="G61" t="str"/>
      <x:c r="H61" t="str">
        <x:v>Yes</x:v>
      </x:c>
    </x:row>
    <x:row r="62">
      <x:c r="A62" t="str">
        <x:v>I’M Hotel</x:v>
      </x:c>
      <x:c r="B62" t="str">
        <x:v>Star rating</x:v>
      </x:c>
      <x:c r="C62" t="str"/>
      <x:c r="D62" t="str"/>
      <x:c r="E62" t="str"/>
      <x:c r="F62" t="str"/>
      <x:c r="G62" t="str"/>
      <x:c r="H62" t="str">
        <x:v>Yes</x:v>
      </x:c>
    </x:row>
    <x:row r="63">
      <x:c r="A63" t="str">
        <x:v>I’M Hotel</x:v>
      </x:c>
      <x:c r="B63" t="str">
        <x:v>Price</x:v>
      </x:c>
      <x:c r="C63" t="str"/>
      <x:c r="D63" t="str"/>
      <x:c r="E63" t="str"/>
      <x:c r="F63" t="str"/>
      <x:c r="G63" t="str"/>
      <x:c r="H63" t="str">
        <x:v>Yes</x:v>
      </x:c>
    </x:row>
    <x:row r="64">
      <x:c r="A64" t="str">
        <x:v>I’M Hotel</x:v>
      </x:c>
      <x:c r="B64" t="str">
        <x:v>Reviews</x:v>
      </x:c>
      <x:c r="C64" t="str"/>
      <x:c r="D64" t="str"/>
      <x:c r="E64" t="str"/>
      <x:c r="F64" t="str"/>
      <x:c r="G64" t="str"/>
      <x:c r="H64" t="str">
        <x:v>Yes</x:v>
      </x:c>
    </x:row>
    <x:row r="65">
      <x:c r="A65" t="str">
        <x:v>I’M Hotel</x:v>
      </x:c>
      <x:c r="B65" t="str">
        <x:v>Nearby sights</x:v>
      </x:c>
      <x:c r="C65" t="str"/>
      <x:c r="D65" t="str"/>
      <x:c r="E65" t="str"/>
      <x:c r="F65" t="str"/>
      <x:c r="G65" t="str"/>
      <x:c r="H65" t="str">
        <x:v>Yes</x:v>
      </x:c>
    </x:row>
    <x:row r="66">
      <x:c r="A66" t="str">
        <x:v>I’M Hotel</x:v>
      </x:c>
      <x:c r="B66" t="str">
        <x:v>Food / restaurants</x:v>
      </x:c>
      <x:c r="C66" t="str"/>
      <x:c r="D66" t="str"/>
      <x:c r="E66" t="str"/>
      <x:c r="F66" t="str"/>
      <x:c r="G66" t="str"/>
      <x:c r="H66" t="str">
        <x:v>Yes</x:v>
      </x:c>
    </x:row>
    <x:row r="67">
      <x:c r="A67" t="str">
        <x:v>NH Collection Bogotá WTC Royal</x:v>
      </x:c>
      <x:c r="B67" t="str">
        <x:v>Star rating</x:v>
      </x:c>
      <x:c r="C67" t="str"/>
      <x:c r="D67" t="str"/>
      <x:c r="E67" t="str"/>
      <x:c r="F67" t="str"/>
      <x:c r="G67" t="str"/>
      <x:c r="H67" t="str">
        <x:v>Yes</x:v>
      </x:c>
    </x:row>
    <x:row r="68">
      <x:c r="A68" t="str">
        <x:v>NH Collection Bogotá WTC Royal</x:v>
      </x:c>
      <x:c r="B68" t="str">
        <x:v>Price</x:v>
      </x:c>
      <x:c r="C68" t="str"/>
      <x:c r="D68" t="str"/>
      <x:c r="E68" t="str"/>
      <x:c r="F68" t="str"/>
      <x:c r="G68" t="str"/>
      <x:c r="H68" t="str">
        <x:v>Yes</x:v>
      </x:c>
    </x:row>
    <x:row r="69">
      <x:c r="A69" t="str">
        <x:v>NH Collection Bogotá WTC Royal</x:v>
      </x:c>
      <x:c r="B69" t="str">
        <x:v>Reviews</x:v>
      </x:c>
      <x:c r="C69" t="str"/>
      <x:c r="D69" t="str"/>
      <x:c r="E69" t="str"/>
      <x:c r="F69" t="str"/>
      <x:c r="G69" t="str"/>
      <x:c r="H69" t="str">
        <x:v>Yes</x:v>
      </x:c>
    </x:row>
    <x:row r="70">
      <x:c r="A70" t="str">
        <x:v>NH Collection Bogotá WTC Royal</x:v>
      </x:c>
      <x:c r="B70" t="str">
        <x:v>Nearby sights</x:v>
      </x:c>
      <x:c r="C70" t="str"/>
      <x:c r="D70" t="str"/>
      <x:c r="E70" t="str"/>
      <x:c r="F70" t="str"/>
      <x:c r="G70" t="str"/>
      <x:c r="H70" t="str">
        <x:v>Yes</x:v>
      </x:c>
    </x:row>
    <x:row r="71">
      <x:c r="A71" t="str">
        <x:v>NH Collection Bogotá WTC Royal</x:v>
      </x:c>
      <x:c r="B71" t="str">
        <x:v>Food / restaurants</x:v>
      </x:c>
      <x:c r="C71" t="str"/>
      <x:c r="D71" t="str"/>
      <x:c r="E71" t="str"/>
      <x:c r="F71" t="str"/>
      <x:c r="G71" t="str"/>
      <x:c r="H71" t="str">
        <x:v>Yes</x:v>
      </x:c>
    </x:row>
    <x:row r="72">
      <x:c r="A72" t="str">
        <x:v>Novotel Ahmedabad</x:v>
      </x:c>
      <x:c r="B72" t="str">
        <x:v>Star rating</x:v>
      </x:c>
      <x:c r="C72" t="str"/>
      <x:c r="D72" t="str"/>
      <x:c r="E72" t="str"/>
      <x:c r="F72" t="str"/>
      <x:c r="G72" t="str"/>
      <x:c r="H72" t="str">
        <x:v>Yes</x:v>
      </x:c>
    </x:row>
    <x:row r="73">
      <x:c r="A73" t="str">
        <x:v>Novotel Ahmedabad</x:v>
      </x:c>
      <x:c r="B73" t="str">
        <x:v>Price</x:v>
      </x:c>
      <x:c r="C73" t="str"/>
      <x:c r="D73" t="str"/>
      <x:c r="E73" t="str"/>
      <x:c r="F73" t="str"/>
      <x:c r="G73" t="str"/>
      <x:c r="H73" t="str">
        <x:v>Yes</x:v>
      </x:c>
    </x:row>
    <x:row r="74">
      <x:c r="A74" t="str">
        <x:v>Novotel Ahmedabad</x:v>
      </x:c>
      <x:c r="B74" t="str">
        <x:v>Reviews</x:v>
      </x:c>
      <x:c r="C74" t="str"/>
      <x:c r="D74" t="str"/>
      <x:c r="E74" t="str"/>
      <x:c r="F74" t="str"/>
      <x:c r="G74" t="str"/>
      <x:c r="H74" t="str">
        <x:v>Yes</x:v>
      </x:c>
    </x:row>
    <x:row r="75">
      <x:c r="A75" t="str">
        <x:v>Novotel Ahmedabad</x:v>
      </x:c>
      <x:c r="B75" t="str">
        <x:v>Nearby sights</x:v>
      </x:c>
      <x:c r="C75" t="str"/>
      <x:c r="D75" t="str"/>
      <x:c r="E75" t="str"/>
      <x:c r="F75" t="str"/>
      <x:c r="G75" t="str"/>
      <x:c r="H75" t="str">
        <x:v>Yes</x:v>
      </x:c>
    </x:row>
    <x:row r="76">
      <x:c r="A76" t="str">
        <x:v>Novotel Ahmedabad</x:v>
      </x:c>
      <x:c r="B76" t="str">
        <x:v>Food / restaurants</x:v>
      </x:c>
      <x:c r="C76" t="str"/>
      <x:c r="D76" t="str"/>
      <x:c r="E76" t="str"/>
      <x:c r="F76" t="str"/>
      <x:c r="G76" t="str"/>
      <x:c r="H76" t="str">
        <x:v>Yes</x:v>
      </x:c>
    </x:row>
    <x:row r="77">
      <x:c r="A77" t="str">
        <x:v>Mandarin Colombo</x:v>
      </x:c>
      <x:c r="B77" t="str">
        <x:v>Star rating</x:v>
      </x:c>
      <x:c r="C77" t="str"/>
      <x:c r="D77" t="str"/>
      <x:c r="E77" t="str"/>
      <x:c r="F77" t="str"/>
      <x:c r="G77" t="str"/>
      <x:c r="H77" t="str">
        <x:v>Yes</x:v>
      </x:c>
    </x:row>
    <x:row r="78">
      <x:c r="A78" t="str">
        <x:v>Mandarin Colombo</x:v>
      </x:c>
      <x:c r="B78" t="str">
        <x:v>Price</x:v>
      </x:c>
      <x:c r="C78" t="str"/>
      <x:c r="D78" t="str"/>
      <x:c r="E78" t="str"/>
      <x:c r="F78" t="str"/>
      <x:c r="G78" t="str"/>
      <x:c r="H78" t="str">
        <x:v>Yes</x:v>
      </x:c>
    </x:row>
    <x:row r="79">
      <x:c r="A79" t="str">
        <x:v>Mandarin Colombo</x:v>
      </x:c>
      <x:c r="B79" t="str">
        <x:v>Reviews</x:v>
      </x:c>
      <x:c r="C79" t="str"/>
      <x:c r="D79" t="str"/>
      <x:c r="E79" t="str"/>
      <x:c r="F79" t="str"/>
      <x:c r="G79" t="str"/>
      <x:c r="H79" t="str">
        <x:v>Yes</x:v>
      </x:c>
    </x:row>
    <x:row r="80">
      <x:c r="A80" t="str">
        <x:v>Mandarin Colombo</x:v>
      </x:c>
      <x:c r="B80" t="str">
        <x:v>Nearby sights</x:v>
      </x:c>
      <x:c r="C80" t="str"/>
      <x:c r="D80" t="str"/>
      <x:c r="E80" t="str"/>
      <x:c r="F80" t="str"/>
      <x:c r="G80" t="str"/>
      <x:c r="H80" t="str">
        <x:v>Yes</x:v>
      </x:c>
    </x:row>
    <x:row r="81">
      <x:c r="A81" t="str">
        <x:v>Mandarin Colombo</x:v>
      </x:c>
      <x:c r="B81" t="str">
        <x:v>Food / restaurants</x:v>
      </x:c>
      <x:c r="C81" t="str"/>
      <x:c r="D81" t="str"/>
      <x:c r="E81" t="str"/>
      <x:c r="F81" t="str"/>
      <x:c r="G81" t="str"/>
      <x:c r="H81" t="str">
        <x:v>Yes</x:v>
      </x:c>
    </x:row>
    <x:row r="82">
      <x:c r="A82" t="str">
        <x:v>Millennium Downtown</x:v>
      </x:c>
      <x:c r="B82" t="str">
        <x:v>Star rating</x:v>
      </x:c>
      <x:c r="C82" t="str"/>
      <x:c r="D82" t="str"/>
      <x:c r="E82" t="str"/>
      <x:c r="F82" t="str"/>
      <x:c r="G82" t="str"/>
      <x:c r="H82" t="str">
        <x:v>Yes</x:v>
      </x:c>
    </x:row>
    <x:row r="83">
      <x:c r="A83" t="str">
        <x:v>Millennium Downtown</x:v>
      </x:c>
      <x:c r="B83" t="str">
        <x:v>Price</x:v>
      </x:c>
      <x:c r="C83" t="str"/>
      <x:c r="D83" t="str"/>
      <x:c r="E83" t="str"/>
      <x:c r="F83" t="str"/>
      <x:c r="G83" t="str"/>
      <x:c r="H83" t="str">
        <x:v>Yes</x:v>
      </x:c>
    </x:row>
    <x:row r="84">
      <x:c r="A84" t="str">
        <x:v>Millennium Downtown</x:v>
      </x:c>
      <x:c r="B84" t="str">
        <x:v>Reviews</x:v>
      </x:c>
      <x:c r="C84" t="str"/>
      <x:c r="D84" t="str"/>
      <x:c r="E84" t="str"/>
      <x:c r="F84" t="str"/>
      <x:c r="G84" t="str"/>
      <x:c r="H84" t="str">
        <x:v>Yes</x:v>
      </x:c>
    </x:row>
    <x:row r="85">
      <x:c r="A85" t="str">
        <x:v>Millennium Downtown</x:v>
      </x:c>
      <x:c r="B85" t="str">
        <x:v>Nearby sights</x:v>
      </x:c>
      <x:c r="C85" t="str"/>
      <x:c r="D85" t="str"/>
      <x:c r="E85" t="str"/>
      <x:c r="F85" t="str"/>
      <x:c r="G85" t="str"/>
      <x:c r="H85" t="str">
        <x:v>Yes</x:v>
      </x:c>
    </x:row>
    <x:row r="86">
      <x:c r="A86" t="str">
        <x:v>Millennium Downtown</x:v>
      </x:c>
      <x:c r="B86" t="str">
        <x:v>Food / restaurants</x:v>
      </x:c>
      <x:c r="C86" t="str"/>
      <x:c r="D86" t="str"/>
      <x:c r="E86" t="str"/>
      <x:c r="F86" t="str"/>
      <x:c r="G86" t="str"/>
      <x:c r="H86" t="str">
        <x:v>Yes</x:v>
      </x:c>
    </x:row>
    <x:row r="87">
      <x:c r="A87" t="str">
        <x:v>Real Marina Hotel &amp; Spa</x:v>
      </x:c>
      <x:c r="B87" t="str">
        <x:v>Star rating</x:v>
      </x:c>
      <x:c r="C87" t="str"/>
      <x:c r="D87" t="str"/>
      <x:c r="E87" t="str"/>
      <x:c r="F87" t="str"/>
      <x:c r="G87" t="str"/>
      <x:c r="H87" t="str">
        <x:v>Yes</x:v>
      </x:c>
    </x:row>
    <x:row r="88">
      <x:c r="A88" t="str">
        <x:v>Real Marina Hotel &amp; Spa</x:v>
      </x:c>
      <x:c r="B88" t="str">
        <x:v>Price</x:v>
      </x:c>
      <x:c r="C88" t="str"/>
      <x:c r="D88" t="str"/>
      <x:c r="E88" t="str"/>
      <x:c r="F88" t="str"/>
      <x:c r="G88" t="str"/>
      <x:c r="H88" t="str">
        <x:v>Yes</x:v>
      </x:c>
    </x:row>
    <x:row r="89">
      <x:c r="A89" t="str">
        <x:v>Real Marina Hotel &amp; Spa</x:v>
      </x:c>
      <x:c r="B89" t="str">
        <x:v>Reviews</x:v>
      </x:c>
      <x:c r="C89" t="str"/>
      <x:c r="D89" t="str"/>
      <x:c r="E89" t="str"/>
      <x:c r="F89" t="str"/>
      <x:c r="G89" t="str"/>
      <x:c r="H89" t="str">
        <x:v>Yes</x:v>
      </x:c>
    </x:row>
    <x:row r="90">
      <x:c r="A90" t="str">
        <x:v>Real Marina Hotel &amp; Spa</x:v>
      </x:c>
      <x:c r="B90" t="str">
        <x:v>Nearby sights</x:v>
      </x:c>
      <x:c r="C90" t="str"/>
      <x:c r="D90" t="str"/>
      <x:c r="E90" t="str"/>
      <x:c r="F90" t="str"/>
      <x:c r="G90" t="str"/>
      <x:c r="H90" t="str">
        <x:v>Yes</x:v>
      </x:c>
    </x:row>
    <x:row r="91">
      <x:c r="A91" t="str">
        <x:v>Real Marina Hotel &amp; Spa</x:v>
      </x:c>
      <x:c r="B91" t="str">
        <x:v>Food / restaurants</x:v>
      </x:c>
      <x:c r="C91" t="str"/>
      <x:c r="D91" t="str"/>
      <x:c r="E91" t="str"/>
      <x:c r="F91" t="str"/>
      <x:c r="G91" t="str"/>
      <x:c r="H91" t="str">
        <x:v>Yes</x:v>
      </x:c>
    </x:row>
    <x:row r="92">
      <x:c r="A92" t="str">
        <x:v>Graffit Gallery Design Hotel</x:v>
      </x:c>
      <x:c r="B92" t="str">
        <x:v>Star rating</x:v>
      </x:c>
      <x:c r="C92" t="str"/>
      <x:c r="D92" t="str"/>
      <x:c r="E92" t="str"/>
      <x:c r="F92" t="str"/>
      <x:c r="G92" t="str"/>
      <x:c r="H92" t="str">
        <x:v>Yes</x:v>
      </x:c>
    </x:row>
    <x:row r="93">
      <x:c r="A93" t="str">
        <x:v>Graffit Gallery Design Hotel</x:v>
      </x:c>
      <x:c r="B93" t="str">
        <x:v>Price</x:v>
      </x:c>
      <x:c r="C93" t="str"/>
      <x:c r="D93" t="str"/>
      <x:c r="E93" t="str"/>
      <x:c r="F93" t="str"/>
      <x:c r="G93" t="str"/>
      <x:c r="H93" t="str">
        <x:v>Yes</x:v>
      </x:c>
    </x:row>
    <x:row r="94">
      <x:c r="A94" t="str">
        <x:v>Graffit Gallery Design Hotel</x:v>
      </x:c>
      <x:c r="B94" t="str">
        <x:v>Reviews</x:v>
      </x:c>
      <x:c r="C94" t="str"/>
      <x:c r="D94" t="str"/>
      <x:c r="E94" t="str"/>
      <x:c r="F94" t="str"/>
      <x:c r="G94" t="str"/>
      <x:c r="H94" t="str">
        <x:v>Yes</x:v>
      </x:c>
    </x:row>
    <x:row r="95">
      <x:c r="A95" t="str">
        <x:v>Graffit Gallery Design Hotel</x:v>
      </x:c>
      <x:c r="B95" t="str">
        <x:v>Nearby sights</x:v>
      </x:c>
      <x:c r="C95" t="str"/>
      <x:c r="D95" t="str"/>
      <x:c r="E95" t="str"/>
      <x:c r="F95" t="str"/>
      <x:c r="G95" t="str"/>
      <x:c r="H95" t="str">
        <x:v>Yes</x:v>
      </x:c>
    </x:row>
    <x:row r="96">
      <x:c r="A96" t="str">
        <x:v>Graffit Gallery Design Hotel</x:v>
      </x:c>
      <x:c r="B96" t="str">
        <x:v>Food / restaurants</x:v>
      </x:c>
      <x:c r="C96" t="str"/>
      <x:c r="D96" t="str"/>
      <x:c r="E96" t="str"/>
      <x:c r="F96" t="str"/>
      <x:c r="G96" t="str"/>
      <x:c r="H96" t="str">
        <x:v>Yes</x:v>
      </x:c>
    </x:row>
    <x:row r="97">
      <x:c r="A97" t="str">
        <x:v>Best Kuala Lumpur five-star candidate</x:v>
      </x:c>
      <x:c r="B97" t="str">
        <x:v>Star rating</x:v>
      </x:c>
      <x:c r="C97" t="str"/>
      <x:c r="D97" t="str"/>
      <x:c r="E97" t="str"/>
      <x:c r="F97" t="str"/>
      <x:c r="G97" t="str"/>
      <x:c r="H97" t="str">
        <x:v>Yes</x:v>
      </x:c>
    </x:row>
    <x:row r="98">
      <x:c r="A98" t="str">
        <x:v>Best Kuala Lumpur five-star candidate</x:v>
      </x:c>
      <x:c r="B98" t="str">
        <x:v>Price</x:v>
      </x:c>
      <x:c r="C98" t="str"/>
      <x:c r="D98" t="str"/>
      <x:c r="E98" t="str"/>
      <x:c r="F98" t="str"/>
      <x:c r="G98" t="str"/>
      <x:c r="H98" t="str">
        <x:v>Yes</x:v>
      </x:c>
    </x:row>
    <x:row r="99">
      <x:c r="A99" t="str">
        <x:v>Best Kuala Lumpur five-star candidate</x:v>
      </x:c>
      <x:c r="B99" t="str">
        <x:v>Reviews</x:v>
      </x:c>
      <x:c r="C99" t="str"/>
      <x:c r="D99" t="str"/>
      <x:c r="E99" t="str"/>
      <x:c r="F99" t="str"/>
      <x:c r="G99" t="str"/>
      <x:c r="H99" t="str">
        <x:v>Yes</x:v>
      </x:c>
    </x:row>
    <x:row r="100">
      <x:c r="A100" t="str">
        <x:v>Best Kuala Lumpur five-star candidate</x:v>
      </x:c>
      <x:c r="B100" t="str">
        <x:v>Nearby sights</x:v>
      </x:c>
      <x:c r="C100" t="str"/>
      <x:c r="D100" t="str"/>
      <x:c r="E100" t="str"/>
      <x:c r="F100" t="str"/>
      <x:c r="G100" t="str"/>
      <x:c r="H100" t="str">
        <x:v>Yes</x:v>
      </x:c>
    </x:row>
    <x:row r="101">
      <x:c r="A101" t="str">
        <x:v>Best Kuala Lumpur five-star candidate</x:v>
      </x:c>
      <x:c r="B101" t="str">
        <x:v>Food / restaurants</x:v>
      </x:c>
      <x:c r="C101" t="str"/>
      <x:c r="D101" t="str"/>
      <x:c r="E101" t="str"/>
      <x:c r="F101" t="str"/>
      <x:c r="G101" t="str"/>
      <x:c r="H101" t="str">
        <x:v>Yes</x:v>
      </x:c>
    </x:row>
    <x:row r="102">
      <x:c r="A102" t="str">
        <x:v>Best Jakarta five-star candidate</x:v>
      </x:c>
      <x:c r="B102" t="str">
        <x:v>Star rating</x:v>
      </x:c>
      <x:c r="C102" t="str"/>
      <x:c r="D102" t="str"/>
      <x:c r="E102" t="str"/>
      <x:c r="F102" t="str"/>
      <x:c r="G102" t="str"/>
      <x:c r="H102" t="str">
        <x:v>Yes</x:v>
      </x:c>
    </x:row>
    <x:row r="103">
      <x:c r="A103" t="str">
        <x:v>Best Jakarta five-star candidate</x:v>
      </x:c>
      <x:c r="B103" t="str">
        <x:v>Price</x:v>
      </x:c>
      <x:c r="C103" t="str"/>
      <x:c r="D103" t="str"/>
      <x:c r="E103" t="str"/>
      <x:c r="F103" t="str"/>
      <x:c r="G103" t="str"/>
      <x:c r="H103" t="str">
        <x:v>Yes</x:v>
      </x:c>
    </x:row>
    <x:row r="104">
      <x:c r="A104" t="str">
        <x:v>Best Jakarta five-star candidate</x:v>
      </x:c>
      <x:c r="B104" t="str">
        <x:v>Reviews</x:v>
      </x:c>
      <x:c r="C104" t="str"/>
      <x:c r="D104" t="str"/>
      <x:c r="E104" t="str"/>
      <x:c r="F104" t="str"/>
      <x:c r="G104" t="str"/>
      <x:c r="H104" t="str">
        <x:v>Yes</x:v>
      </x:c>
    </x:row>
    <x:row r="105">
      <x:c r="A105" t="str">
        <x:v>Best Jakarta five-star candidate</x:v>
      </x:c>
      <x:c r="B105" t="str">
        <x:v>Nearby sights</x:v>
      </x:c>
      <x:c r="C105" t="str"/>
      <x:c r="D105" t="str"/>
      <x:c r="E105" t="str"/>
      <x:c r="F105" t="str"/>
      <x:c r="G105" t="str"/>
      <x:c r="H105" t="str">
        <x:v>Yes</x:v>
      </x:c>
    </x:row>
    <x:row r="106">
      <x:c r="A106" t="str">
        <x:v>Best Jakarta five-star candidate</x:v>
      </x:c>
      <x:c r="B106" t="str">
        <x:v>Food / restaurants</x:v>
      </x:c>
      <x:c r="C106" t="str"/>
      <x:c r="D106" t="str"/>
      <x:c r="E106" t="str"/>
      <x:c r="F106" t="str"/>
      <x:c r="G106" t="str"/>
      <x:c r="H106" t="str">
        <x:v>Yes</x:v>
      </x:c>
    </x:row>
    <x:row r="107">
      <x:c r="A107" t="str">
        <x:v>Best Tbilisi five-star candidate</x:v>
      </x:c>
      <x:c r="B107" t="str">
        <x:v>Star rating</x:v>
      </x:c>
      <x:c r="C107" t="str"/>
      <x:c r="D107" t="str"/>
      <x:c r="E107" t="str"/>
      <x:c r="F107" t="str"/>
      <x:c r="G107" t="str"/>
      <x:c r="H107" t="str">
        <x:v>Yes</x:v>
      </x:c>
    </x:row>
    <x:row r="108">
      <x:c r="A108" t="str">
        <x:v>Best Tbilisi five-star candidate</x:v>
      </x:c>
      <x:c r="B108" t="str">
        <x:v>Price</x:v>
      </x:c>
      <x:c r="C108" t="str"/>
      <x:c r="D108" t="str"/>
      <x:c r="E108" t="str"/>
      <x:c r="F108" t="str"/>
      <x:c r="G108" t="str"/>
      <x:c r="H108" t="str">
        <x:v>Yes</x:v>
      </x:c>
    </x:row>
    <x:row r="109">
      <x:c r="A109" t="str">
        <x:v>Best Tbilisi five-star candidate</x:v>
      </x:c>
      <x:c r="B109" t="str">
        <x:v>Reviews</x:v>
      </x:c>
      <x:c r="C109" t="str"/>
      <x:c r="D109" t="str"/>
      <x:c r="E109" t="str"/>
      <x:c r="F109" t="str"/>
      <x:c r="G109" t="str"/>
      <x:c r="H109" t="str">
        <x:v>Yes</x:v>
      </x:c>
    </x:row>
    <x:row r="110">
      <x:c r="A110" t="str">
        <x:v>Best Tbilisi five-star candidate</x:v>
      </x:c>
      <x:c r="B110" t="str">
        <x:v>Nearby sights</x:v>
      </x:c>
      <x:c r="C110" t="str"/>
      <x:c r="D110" t="str"/>
      <x:c r="E110" t="str"/>
      <x:c r="F110" t="str"/>
      <x:c r="G110" t="str"/>
      <x:c r="H110" t="str">
        <x:v>Yes</x:v>
      </x:c>
    </x:row>
    <x:row r="111">
      <x:c r="A111" t="str">
        <x:v>Best Tbilisi five-star candidate</x:v>
      </x:c>
      <x:c r="B111" t="str">
        <x:v>Food / restaurants</x:v>
      </x:c>
      <x:c r="C111" t="str"/>
      <x:c r="D111" t="str"/>
      <x:c r="E111" t="str"/>
      <x:c r="F111" t="str"/>
      <x:c r="G111" t="str"/>
      <x:c r="H111" t="str">
        <x:v>Yes</x:v>
      </x:c>
    </x:row>
    <x:row r="112">
      <x:c r="A112" t="str">
        <x:v>Best Yerevan five-star candidate</x:v>
      </x:c>
      <x:c r="B112" t="str">
        <x:v>Star rating</x:v>
      </x:c>
      <x:c r="C112" t="str"/>
      <x:c r="D112" t="str"/>
      <x:c r="E112" t="str"/>
      <x:c r="F112" t="str"/>
      <x:c r="G112" t="str"/>
      <x:c r="H112" t="str">
        <x:v>Yes</x:v>
      </x:c>
    </x:row>
    <x:row r="113">
      <x:c r="A113" t="str">
        <x:v>Best Yerevan five-star candidate</x:v>
      </x:c>
      <x:c r="B113" t="str">
        <x:v>Price</x:v>
      </x:c>
      <x:c r="C113" t="str"/>
      <x:c r="D113" t="str"/>
      <x:c r="E113" t="str"/>
      <x:c r="F113" t="str"/>
      <x:c r="G113" t="str"/>
      <x:c r="H113" t="str">
        <x:v>Yes</x:v>
      </x:c>
    </x:row>
    <x:row r="114">
      <x:c r="A114" t="str">
        <x:v>Best Yerevan five-star candidate</x:v>
      </x:c>
      <x:c r="B114" t="str">
        <x:v>Reviews</x:v>
      </x:c>
      <x:c r="C114" t="str"/>
      <x:c r="D114" t="str"/>
      <x:c r="E114" t="str"/>
      <x:c r="F114" t="str"/>
      <x:c r="G114" t="str"/>
      <x:c r="H114" t="str">
        <x:v>Yes</x:v>
      </x:c>
    </x:row>
    <x:row r="115">
      <x:c r="A115" t="str">
        <x:v>Best Yerevan five-star candidate</x:v>
      </x:c>
      <x:c r="B115" t="str">
        <x:v>Nearby sights</x:v>
      </x:c>
      <x:c r="C115" t="str"/>
      <x:c r="D115" t="str"/>
      <x:c r="E115" t="str"/>
      <x:c r="F115" t="str"/>
      <x:c r="G115" t="str"/>
      <x:c r="H115" t="str">
        <x:v>Yes</x:v>
      </x:c>
    </x:row>
    <x:row r="116">
      <x:c r="A116" t="str">
        <x:v>Best Yerevan five-star candidate</x:v>
      </x:c>
      <x:c r="B116" t="str">
        <x:v>Food / restaurants</x:v>
      </x:c>
      <x:c r="C116" t="str"/>
      <x:c r="D116" t="str"/>
      <x:c r="E116" t="str"/>
      <x:c r="F116" t="str"/>
      <x:c r="G116" t="str"/>
      <x:c r="H116" t="str">
        <x:v>Yes</x:v>
      </x:c>
    </x:row>
    <x:row r="117">
      <x:c r="A117" t="str">
        <x:v>Best Tashkent five-star candidate</x:v>
      </x:c>
      <x:c r="B117" t="str">
        <x:v>Star rating</x:v>
      </x:c>
      <x:c r="C117" t="str"/>
      <x:c r="D117" t="str"/>
      <x:c r="E117" t="str"/>
      <x:c r="F117" t="str"/>
      <x:c r="G117" t="str"/>
      <x:c r="H117" t="str">
        <x:v>Yes</x:v>
      </x:c>
    </x:row>
    <x:row r="118">
      <x:c r="A118" t="str">
        <x:v>Best Tashkent five-star candidate</x:v>
      </x:c>
      <x:c r="B118" t="str">
        <x:v>Price</x:v>
      </x:c>
      <x:c r="C118" t="str"/>
      <x:c r="D118" t="str"/>
      <x:c r="E118" t="str"/>
      <x:c r="F118" t="str"/>
      <x:c r="G118" t="str"/>
      <x:c r="H118" t="str">
        <x:v>Yes</x:v>
      </x:c>
    </x:row>
    <x:row r="119">
      <x:c r="A119" t="str">
        <x:v>Best Tashkent five-star candidate</x:v>
      </x:c>
      <x:c r="B119" t="str">
        <x:v>Reviews</x:v>
      </x:c>
      <x:c r="C119" t="str"/>
      <x:c r="D119" t="str"/>
      <x:c r="E119" t="str"/>
      <x:c r="F119" t="str"/>
      <x:c r="G119" t="str"/>
      <x:c r="H119" t="str">
        <x:v>Yes</x:v>
      </x:c>
    </x:row>
    <x:row r="120">
      <x:c r="A120" t="str">
        <x:v>Best Tashkent five-star candidate</x:v>
      </x:c>
      <x:c r="B120" t="str">
        <x:v>Nearby sights</x:v>
      </x:c>
      <x:c r="C120" t="str"/>
      <x:c r="D120" t="str"/>
      <x:c r="E120" t="str"/>
      <x:c r="F120" t="str"/>
      <x:c r="G120" t="str"/>
      <x:c r="H120" t="str">
        <x:v>Yes</x:v>
      </x:c>
    </x:row>
    <x:row r="121">
      <x:c r="A121" t="str">
        <x:v>Best Tashkent five-star candidate</x:v>
      </x:c>
      <x:c r="B121" t="str">
        <x:v>Food / restaurants</x:v>
      </x:c>
      <x:c r="C121" t="str"/>
      <x:c r="D121" t="str"/>
      <x:c r="E121" t="str"/>
      <x:c r="F121" t="str"/>
      <x:c r="G121" t="str"/>
      <x:c r="H121" t="str">
        <x:v>Yes</x:v>
      </x:c>
    </x:row>
    <x:row r="122">
      <x:c r="A122" t="str">
        <x:v>Best Marrakech five-star candidate</x:v>
      </x:c>
      <x:c r="B122" t="str">
        <x:v>Star rating</x:v>
      </x:c>
      <x:c r="C122" t="str"/>
      <x:c r="D122" t="str"/>
      <x:c r="E122" t="str"/>
      <x:c r="F122" t="str"/>
      <x:c r="G122" t="str"/>
      <x:c r="H122" t="str">
        <x:v>Yes</x:v>
      </x:c>
    </x:row>
    <x:row r="123">
      <x:c r="A123" t="str">
        <x:v>Best Marrakech five-star candidate</x:v>
      </x:c>
      <x:c r="B123" t="str">
        <x:v>Price</x:v>
      </x:c>
      <x:c r="C123" t="str"/>
      <x:c r="D123" t="str"/>
      <x:c r="E123" t="str"/>
      <x:c r="F123" t="str"/>
      <x:c r="G123" t="str"/>
      <x:c r="H123" t="str">
        <x:v>Yes</x:v>
      </x:c>
    </x:row>
    <x:row r="124">
      <x:c r="A124" t="str">
        <x:v>Best Marrakech five-star candidate</x:v>
      </x:c>
      <x:c r="B124" t="str">
        <x:v>Reviews</x:v>
      </x:c>
      <x:c r="C124" t="str"/>
      <x:c r="D124" t="str"/>
      <x:c r="E124" t="str"/>
      <x:c r="F124" t="str"/>
      <x:c r="G124" t="str"/>
      <x:c r="H124" t="str">
        <x:v>Yes</x:v>
      </x:c>
    </x:row>
    <x:row r="125">
      <x:c r="A125" t="str">
        <x:v>Best Marrakech five-star candidate</x:v>
      </x:c>
      <x:c r="B125" t="str">
        <x:v>Nearby sights</x:v>
      </x:c>
      <x:c r="C125" t="str"/>
      <x:c r="D125" t="str"/>
      <x:c r="E125" t="str"/>
      <x:c r="F125" t="str"/>
      <x:c r="G125" t="str"/>
      <x:c r="H125" t="str">
        <x:v>Yes</x:v>
      </x:c>
    </x:row>
    <x:row r="126">
      <x:c r="A126" t="str">
        <x:v>Best Marrakech five-star candidate</x:v>
      </x:c>
      <x:c r="B126" t="str">
        <x:v>Food / restaurants</x:v>
      </x:c>
      <x:c r="C126" t="str"/>
      <x:c r="D126" t="str"/>
      <x:c r="E126" t="str"/>
      <x:c r="F126" t="str"/>
      <x:c r="G126" t="str"/>
      <x:c r="H12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11d6dd5809141b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24" hidden="0" customWidth="1"/>
    <x:col min="5" max="5" width="18" hidden="0" customWidth="1"/>
    <x:col min="6" max="6" width="55" hidden="0" customWidth="1"/>
  </x:cols>
  <x:sheetData>
    <x:row r="1">
      <x:c r="A1" s="30" t="str">
        <x:v>Final Recommendations</x:v>
      </x:c>
      <x:c r="B1" s="30"/>
      <x:c r="C1" s="30"/>
      <x:c r="D1" s="30"/>
      <x:c r="E1" s="30"/>
      <x:c r="F1" s="30"/>
    </x:row>
    <x:row r="2">
      <x:c r="A2" s="32" t="str">
        <x:v>Top 20 hotels to include</x:v>
      </x:c>
      <x:c r="B2" s="32"/>
      <x:c r="C2" s="32"/>
      <x:c r="D2" s="32"/>
      <x:c r="E2" s="32"/>
      <x:c r="F2" s="32"/>
    </x:row>
    <x:row r="3">
      <x:c r="A3" s="24" t="str">
        <x:v>Rank</x:v>
      </x:c>
      <x:c r="B3" s="24" t="str">
        <x:v>Hotel</x:v>
      </x:c>
      <x:c r="C3" s="24" t="str">
        <x:v>City</x:v>
      </x:c>
      <x:c r="D3" s="24" t="str">
        <x:v>Country</x:v>
      </x:c>
      <x:c r="E3" s="24" t="str">
        <x:v>Value score</x:v>
      </x:c>
      <x:c r="F3" s="24" t="str">
        <x:v>Reason for inclusion</x:v>
      </x:c>
    </x:row>
    <x:row r="4">
      <x:c r="A4" t="str"/>
      <x:c r="B4" t="str"/>
      <x:c r="C4" t="str"/>
      <x:c r="D4" t="str"/>
      <x:c r="E4" t="str"/>
      <x:c r="F4" t="str"/>
    </x:row>
    <x:row r="5">
      <x:c r="A5" t="str"/>
      <x:c r="B5" t="str"/>
      <x:c r="C5" t="str"/>
      <x:c r="D5" t="str"/>
      <x:c r="E5" t="str"/>
      <x:c r="F5" t="str"/>
    </x:row>
    <x:row r="6">
      <x:c r="A6" t="str"/>
      <x:c r="B6" t="str"/>
      <x:c r="C6" t="str"/>
      <x:c r="D6" t="str"/>
      <x:c r="E6" t="str"/>
      <x:c r="F6" t="str"/>
    </x:row>
    <x:row r="7">
      <x:c r="A7" t="str"/>
      <x:c r="B7" t="str"/>
      <x:c r="C7" t="str"/>
      <x:c r="D7" t="str"/>
      <x:c r="E7" t="str"/>
      <x:c r="F7" t="str"/>
    </x:row>
    <x:row r="8">
      <x:c r="A8" t="str"/>
      <x:c r="B8" t="str"/>
      <x:c r="C8" t="str"/>
      <x:c r="D8" t="str"/>
      <x:c r="E8" t="str"/>
      <x:c r="F8" t="str"/>
    </x:row>
    <x:row r="9">
      <x:c r="A9" t="str"/>
      <x:c r="B9" t="str"/>
      <x:c r="C9" t="str"/>
      <x:c r="D9" t="str"/>
      <x:c r="E9" t="str"/>
      <x:c r="F9" t="str"/>
    </x:row>
    <x:row r="10">
      <x:c r="A10" t="str"/>
      <x:c r="B10" t="str"/>
      <x:c r="C10" t="str"/>
      <x:c r="D10" t="str"/>
      <x:c r="E10" t="str"/>
      <x:c r="F10" t="str"/>
    </x:row>
    <x:row r="11">
      <x:c r="A11" t="str"/>
      <x:c r="B11" t="str"/>
      <x:c r="C11" t="str"/>
      <x:c r="D11" t="str"/>
      <x:c r="E11" t="str"/>
      <x:c r="F11" t="str"/>
    </x:row>
    <x:row r="12">
      <x:c r="A12" t="str"/>
      <x:c r="B12" t="str"/>
      <x:c r="C12" t="str"/>
      <x:c r="D12" t="str"/>
      <x:c r="E12" t="str"/>
      <x:c r="F12" t="str"/>
    </x:row>
    <x:row r="13">
      <x:c r="A13" t="str"/>
      <x:c r="B13" t="str"/>
      <x:c r="C13" t="str"/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  <x:row r="15">
      <x:c r="A15" t="str"/>
      <x:c r="B15" t="str"/>
      <x:c r="C15" t="str"/>
      <x:c r="D15" t="str"/>
      <x:c r="E15" t="str"/>
      <x:c r="F15" t="str"/>
    </x:row>
    <x:row r="16">
      <x:c r="A16" t="str"/>
      <x:c r="B16" t="str"/>
      <x:c r="C16" t="str"/>
      <x:c r="D16" t="str"/>
      <x:c r="E16" t="str"/>
      <x:c r="F16" t="str"/>
    </x:row>
    <x:row r="17">
      <x:c r="A17" t="str"/>
      <x:c r="B17" t="str"/>
      <x:c r="C17" t="str"/>
      <x:c r="D17" t="str"/>
      <x:c r="E17" t="str"/>
      <x:c r="F17" t="str"/>
    </x:row>
    <x:row r="18">
      <x:c r="A18" t="str"/>
      <x:c r="B18" t="str"/>
      <x:c r="C18" t="str"/>
      <x:c r="D18" t="str"/>
      <x:c r="E18" t="str"/>
      <x:c r="F18" t="str"/>
    </x:row>
    <x:row r="19">
      <x:c r="A19" t="str"/>
      <x:c r="B19" t="str"/>
      <x:c r="C19" t="str"/>
      <x:c r="D19" t="str"/>
      <x:c r="E19" t="str"/>
      <x:c r="F19" t="str"/>
    </x:row>
    <x:row r="20">
      <x:c r="A20" t="str"/>
      <x:c r="B20" t="str"/>
      <x:c r="C20" t="str"/>
      <x:c r="D20" t="str"/>
      <x:c r="E20" t="str"/>
      <x:c r="F20" t="str"/>
    </x:row>
    <x:row r="21">
      <x:c r="A21" t="str"/>
      <x:c r="B21" t="str"/>
      <x:c r="C21" t="str"/>
      <x:c r="D21" t="str"/>
      <x:c r="E21" t="str"/>
      <x:c r="F21" t="str"/>
    </x:row>
    <x:row r="22">
      <x:c r="A22" t="str"/>
      <x:c r="B22" t="str"/>
      <x:c r="C22" t="str"/>
      <x:c r="D22" t="str"/>
      <x:c r="E22" t="str"/>
      <x:c r="F22" t="str"/>
    </x:row>
    <x:row r="23">
      <x:c r="A23" t="str"/>
      <x:c r="B23" t="str"/>
      <x:c r="C23" t="str"/>
      <x:c r="D23" t="str"/>
      <x:c r="E23" t="str"/>
      <x:c r="F23" t="str"/>
    </x:row>
    <x:row r="24">
      <x:c r="A24" s="32" t="str"/>
      <x:c r="B24" s="32"/>
      <x:c r="C24" s="32"/>
      <x:c r="D24" s="32"/>
      <x:c r="E24" s="32"/>
      <x:c r="F24" s="32"/>
    </x:row>
    <x:row r="25">
      <x:c r="A25" s="24" t="str">
        <x:v>5 backup hotels</x:v>
      </x:c>
      <x:c r="B25" s="24"/>
      <x:c r="C25" s="24"/>
      <x:c r="D25" s="24"/>
      <x:c r="E25" s="24"/>
      <x:c r="F25" s="24"/>
    </x:row>
    <x:row r="26">
      <x:c r="A26" t="str">
        <x:v>Rank</x:v>
      </x:c>
      <x:c r="B26" t="str">
        <x:v>Hotel</x:v>
      </x:c>
      <x:c r="C26" t="str">
        <x:v>City</x:v>
      </x:c>
      <x:c r="D26" t="str">
        <x:v>Country</x:v>
      </x:c>
      <x:c r="E26" t="str">
        <x:v>Value score</x:v>
      </x:c>
      <x:c r="F26" t="str">
        <x:v>Why backup</x:v>
      </x:c>
    </x:row>
    <x:row r="27">
      <x:c r="A27" t="str"/>
      <x:c r="B27" t="str"/>
      <x:c r="C27" t="str"/>
      <x:c r="D27" t="str"/>
      <x:c r="E27" t="str"/>
      <x:c r="F27" t="str"/>
    </x:row>
    <x:row r="28">
      <x:c r="A28" t="str"/>
      <x:c r="B28" t="str"/>
      <x:c r="C28" t="str"/>
      <x:c r="D28" t="str"/>
      <x:c r="E28" t="str"/>
      <x:c r="F28" t="str"/>
    </x:row>
    <x:row r="29">
      <x:c r="A29" t="str"/>
      <x:c r="B29" t="str"/>
      <x:c r="C29" t="str"/>
      <x:c r="D29" t="str"/>
      <x:c r="E29" t="str"/>
      <x:c r="F29" t="str"/>
    </x:row>
    <x:row r="30">
      <x:c r="A30" t="str"/>
      <x:c r="B30" t="str"/>
      <x:c r="C30" t="str"/>
      <x:c r="D30" t="str"/>
      <x:c r="E30" t="str"/>
      <x:c r="F30" t="str"/>
    </x:row>
    <x:row r="31">
      <x:c r="A31" t="str"/>
      <x:c r="B31" t="str"/>
      <x:c r="C31" t="str"/>
      <x:c r="D31" t="str"/>
      <x:c r="E31" t="str"/>
      <x:c r="F31" t="str"/>
    </x:row>
    <x:row r="32">
      <x:c r="A32" s="32" t="str"/>
      <x:c r="B32" s="32"/>
      <x:c r="C32" s="32"/>
      <x:c r="D32" s="32"/>
      <x:c r="E32" s="32"/>
      <x:c r="F32" s="32"/>
    </x:row>
    <x:row r="33">
      <x:c r="A33" s="24" t="str">
        <x:v>Hotels rejected and why</x:v>
      </x:c>
      <x:c r="B33" s="24"/>
      <x:c r="C33" s="24"/>
      <x:c r="D33" s="24"/>
      <x:c r="E33" s="24"/>
      <x:c r="F33" s="24"/>
    </x:row>
    <x:row r="34">
      <x:c r="A34" t="str">
        <x:v>Hotel</x:v>
      </x:c>
      <x:c r="B34" t="str">
        <x:v>City</x:v>
      </x:c>
      <x:c r="C34" t="str">
        <x:v>Country</x:v>
      </x:c>
      <x:c r="D34" t="str">
        <x:v>Reason rejected</x:v>
      </x:c>
      <x:c r="E34" t="str">
        <x:v>Could revisit if…</x:v>
      </x:c>
      <x:c r="F34" t="str">
        <x:v>Notes</x:v>
      </x:c>
    </x:row>
    <x:row r="35">
      <x:c r="A35" t="str"/>
      <x:c r="B35" t="str"/>
      <x:c r="C35" t="str"/>
      <x:c r="D35" t="str"/>
      <x:c r="E35" t="str"/>
      <x:c r="F35" t="str"/>
    </x:row>
    <x:row r="36">
      <x:c r="A36" t="str"/>
      <x:c r="B36" t="str"/>
      <x:c r="C36" t="str"/>
      <x:c r="D36" t="str"/>
      <x:c r="E36" t="str"/>
      <x:c r="F36" t="str"/>
    </x:row>
    <x:row r="37">
      <x:c r="A37" t="str"/>
      <x:c r="B37" t="str"/>
      <x:c r="C37" t="str"/>
      <x:c r="D37" t="str"/>
      <x:c r="E37" t="str"/>
      <x:c r="F37" t="str"/>
    </x:row>
    <x:row r="38">
      <x:c r="A38" t="str"/>
      <x:c r="B38" t="str"/>
      <x:c r="C38" t="str"/>
      <x:c r="D38" t="str"/>
      <x:c r="E38" t="str"/>
      <x:c r="F38" t="str"/>
    </x:row>
    <x:row r="39">
      <x:c r="A39" t="str"/>
      <x:c r="B39" t="str"/>
      <x:c r="C39" t="str"/>
      <x:c r="D39" t="str"/>
      <x:c r="E39" t="str"/>
      <x:c r="F39" t="str"/>
    </x:row>
    <x:row r="40">
      <x:c r="A40" t="str"/>
      <x:c r="B40" t="str"/>
      <x:c r="C40" t="str"/>
      <x:c r="D40" t="str"/>
      <x:c r="E40" t="str"/>
      <x:c r="F40" t="str"/>
    </x:row>
    <x:row r="41">
      <x:c r="A41" t="str"/>
      <x:c r="B41" t="str"/>
      <x:c r="C41" t="str"/>
      <x:c r="D41" t="str"/>
      <x:c r="E41" t="str"/>
      <x:c r="F41" t="str"/>
    </x:row>
    <x:row r="42">
      <x:c r="A42" t="str"/>
      <x:c r="B42" t="str"/>
      <x:c r="C42" t="str"/>
      <x:c r="D42" t="str"/>
      <x:c r="E42" t="str"/>
      <x:c r="F42" t="str"/>
    </x:row>
    <x:row r="43">
      <x:c r="A43" t="str"/>
      <x:c r="B43" t="str"/>
      <x:c r="C43" t="str"/>
      <x:c r="D43" t="str"/>
      <x:c r="E43" t="str"/>
      <x:c r="F43" t="str"/>
    </x:row>
    <x:row r="44">
      <x:c r="A44" t="str"/>
      <x:c r="B44" t="str"/>
      <x:c r="C44" t="str"/>
      <x:c r="D44" t="str"/>
      <x:c r="E44" t="str"/>
      <x:c r="F44" t="str"/>
    </x:row>
    <x:row r="45">
      <x:c r="A45" s="32" t="str"/>
      <x:c r="B45" s="32"/>
      <x:c r="C45" s="32"/>
      <x:c r="D45" s="32"/>
      <x:c r="E45" s="32"/>
      <x:c r="F45" s="32"/>
    </x:row>
    <x:row r="46">
      <x:c r="A46" s="24" t="str">
        <x:v>Best 5 hotels for the homepage</x:v>
      </x:c>
      <x:c r="B46" s="24"/>
      <x:c r="C46" s="24"/>
      <x:c r="D46" s="24"/>
      <x:c r="E46" s="24"/>
      <x:c r="F46" s="24"/>
    </x:row>
    <x:row r="47">
      <x:c r="A47" t="str">
        <x:v>Rank</x:v>
      </x:c>
      <x:c r="B47" t="str">
        <x:v>Hotel</x:v>
      </x:c>
      <x:c r="C47" t="str">
        <x:v>Homepage angle</x:v>
      </x:c>
      <x:c r="D47" t="str">
        <x:v>Image/visual angle</x:v>
      </x:c>
      <x:c r="E47" t="str">
        <x:v>CTA idea</x:v>
      </x:c>
      <x:c r="F47" t="str">
        <x:v>Notes</x:v>
      </x:c>
    </x:row>
    <x:row r="48">
      <x:c r="A48" t="str"/>
      <x:c r="B48" t="str"/>
      <x:c r="C48" t="str"/>
      <x:c r="D48" t="str"/>
      <x:c r="E48" t="str"/>
      <x:c r="F48" t="str"/>
    </x:row>
    <x:row r="49">
      <x:c r="A49" t="str"/>
      <x:c r="B49" t="str"/>
      <x:c r="C49" t="str"/>
      <x:c r="D49" t="str"/>
      <x:c r="E49" t="str"/>
      <x:c r="F49" t="str"/>
    </x:row>
    <x:row r="50">
      <x:c r="A50" t="str"/>
      <x:c r="B50" t="str"/>
      <x:c r="C50" t="str"/>
      <x:c r="D50" t="str"/>
      <x:c r="E50" t="str"/>
      <x:c r="F50" t="str"/>
    </x:row>
    <x:row r="51">
      <x:c r="A51" t="str"/>
      <x:c r="B51" t="str"/>
      <x:c r="C51" t="str"/>
      <x:c r="D51" t="str"/>
      <x:c r="E51" t="str"/>
      <x:c r="F51" t="str"/>
    </x:row>
    <x:row r="52">
      <x:c r="A52" t="str"/>
      <x:c r="B52" t="str"/>
      <x:c r="C52" t="str"/>
      <x:c r="D52" t="str"/>
      <x:c r="E52" t="str"/>
      <x:c r="F52" t="str"/>
    </x:row>
    <x:row r="53">
      <x:c r="A53" s="32" t="str"/>
      <x:c r="B53" s="32"/>
      <x:c r="C53" s="32"/>
      <x:c r="D53" s="32"/>
      <x:c r="E53" s="32"/>
      <x:c r="F53" s="32"/>
    </x:row>
    <x:row r="54">
      <x:c r="A54" s="24" t="str">
        <x:v>Best 5 hotels for social media posts</x:v>
      </x:c>
      <x:c r="B54" s="24"/>
      <x:c r="C54" s="24"/>
      <x:c r="D54" s="24"/>
      <x:c r="E54" s="24"/>
      <x:c r="F54" s="24"/>
    </x:row>
    <x:row r="55">
      <x:c r="A55" t="str">
        <x:v>Rank</x:v>
      </x:c>
      <x:c r="B55" t="str">
        <x:v>Hotel</x:v>
      </x:c>
      <x:c r="C55" t="str">
        <x:v>Post angle</x:v>
      </x:c>
      <x:c r="D55" t="str">
        <x:v>Hook</x:v>
      </x:c>
      <x:c r="E55" t="str">
        <x:v>Suggested format</x:v>
      </x:c>
      <x:c r="F55" t="str">
        <x:v>Notes</x:v>
      </x:c>
    </x:row>
    <x:row r="56">
      <x:c r="A56" t="str"/>
      <x:c r="B56" t="str"/>
      <x:c r="C56" t="str"/>
      <x:c r="D56" t="str"/>
      <x:c r="E56" t="str"/>
      <x:c r="F56" t="str"/>
    </x:row>
    <x:row r="57">
      <x:c r="A57" t="str"/>
      <x:c r="B57" t="str"/>
      <x:c r="C57" t="str"/>
      <x:c r="D57" t="str"/>
      <x:c r="E57" t="str"/>
      <x:c r="F57" t="str"/>
    </x:row>
    <x:row r="58">
      <x:c r="A58" t="str"/>
      <x:c r="B58" t="str"/>
      <x:c r="C58" t="str"/>
      <x:c r="D58" t="str"/>
      <x:c r="E58" t="str"/>
      <x:c r="F58" t="str"/>
    </x:row>
    <x:row r="59">
      <x:c r="A59" t="str"/>
      <x:c r="B59" t="str"/>
      <x:c r="C59" t="str"/>
      <x:c r="D59" t="str"/>
      <x:c r="E59" t="str"/>
      <x:c r="F59" t="str"/>
    </x:row>
    <x:row r="60">
      <x:c r="A60" t="str"/>
      <x:c r="B60" t="str"/>
      <x:c r="C60" t="str"/>
      <x:c r="D60" t="str"/>
      <x:c r="E60" t="str"/>
      <x:c r="F60" t="str"/>
    </x:row>
    <x:row r="61">
      <x:c r="A61" s="32" t="str"/>
      <x:c r="B61" s="32"/>
      <x:c r="C61" s="32"/>
      <x:c r="D61" s="32"/>
      <x:c r="E61" s="32"/>
      <x:c r="F61" s="32"/>
    </x:row>
    <x:row r="62">
      <x:c r="A62" s="24" t="str">
        <x:v>Best 5 hotels for SEO city pages</x:v>
      </x:c>
      <x:c r="B62" s="24"/>
      <x:c r="C62" s="24"/>
      <x:c r="D62" s="24"/>
      <x:c r="E62" s="24"/>
      <x:c r="F62" s="24"/>
    </x:row>
    <x:row r="63">
      <x:c r="A63" t="str">
        <x:v>Rank</x:v>
      </x:c>
      <x:c r="B63" t="str">
        <x:v>City page</x:v>
      </x:c>
      <x:c r="C63" t="str">
        <x:v>Primary keyword</x:v>
      </x:c>
      <x:c r="D63" t="str">
        <x:v>Hotels to feature</x:v>
      </x:c>
      <x:c r="E63" t="str">
        <x:v>Search intent</x:v>
      </x:c>
      <x:c r="F63" t="str">
        <x:v>Notes</x:v>
      </x:c>
    </x:row>
    <x:row r="64">
      <x:c r="A64" t="str"/>
      <x:c r="B64" t="str"/>
      <x:c r="C64" t="str"/>
      <x:c r="D64" t="str"/>
      <x:c r="E64" t="str"/>
      <x:c r="F64" t="str"/>
    </x:row>
    <x:row r="65">
      <x:c r="A65" t="str"/>
      <x:c r="B65" t="str"/>
      <x:c r="C65" t="str"/>
      <x:c r="D65" t="str"/>
      <x:c r="E65" t="str"/>
      <x:c r="F65" t="str"/>
    </x:row>
    <x:row r="66">
      <x:c r="A66" t="str"/>
      <x:c r="B66" t="str"/>
      <x:c r="C66" t="str"/>
      <x:c r="D66" t="str"/>
      <x:c r="E66" t="str"/>
      <x:c r="F66" t="str"/>
    </x:row>
    <x:row r="67">
      <x:c r="A67" t="str"/>
      <x:c r="B67" t="str"/>
      <x:c r="C67" t="str"/>
      <x:c r="D67" t="str"/>
      <x:c r="E67" t="str"/>
      <x:c r="F67" t="str"/>
    </x:row>
    <x:row r="68">
      <x:c r="A68" t="str"/>
      <x:c r="B68" t="str"/>
      <x:c r="C68" t="str"/>
      <x:c r="D68" t="str"/>
      <x:c r="E68" t="str"/>
      <x:c r="F6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5" hidden="0" customWidth="1"/>
    <x:col min="3" max="3" width="10" hidden="0" customWidth="1"/>
    <x:col min="4" max="4" width="45" hidden="0" customWidth="1"/>
  </x:cols>
  <x:sheetData>
    <x:row r="1">
      <x:c r="A1" s="30" t="str">
        <x:v>Research Checklist</x:v>
      </x:c>
      <x:c r="B1" s="30"/>
      <x:c r="C1" s="30"/>
      <x:c r="D1" s="30"/>
    </x:row>
    <x:row r="2">
      <x:c r="A2" s="24" t="str">
        <x:v>Step</x:v>
      </x:c>
      <x:c r="B2" s="24" t="str">
        <x:v>Check</x:v>
      </x:c>
      <x:c r="C2" s="24" t="str">
        <x:v>Done?</x:v>
      </x:c>
      <x:c r="D2" s="24" t="str">
        <x:v>Notes</x:v>
      </x:c>
    </x:row>
    <x:row r="3">
      <x:c r="A3" t="n">
        <x:v>1</x:v>
      </x:c>
      <x:c r="B3" t="str">
        <x:v>Confirm exact current hotel name and brand/ownership</x:v>
      </x:c>
      <x:c r="C3" t="str"/>
      <x:c r="D3" t="str"/>
    </x:row>
    <x:row r="4">
      <x:c r="A4" t="n">
        <x:v>2</x:v>
      </x:c>
      <x:c r="B4" t="str">
        <x:v>Check Booking.com, Google Hotels, Agoda, Expedia, and official site where relevant</x:v>
      </x:c>
      <x:c r="C4" t="str"/>
      <x:c r="D4" t="str"/>
    </x:row>
    <x:row r="5">
      <x:c r="A5" t="n">
        <x:v>3</x:v>
      </x:c>
      <x:c r="B5" t="str">
        <x:v>Record flexible price language, not fixed claims</x:v>
      </x:c>
      <x:c r="C5" t="str"/>
      <x:c r="D5" t="str"/>
    </x:row>
    <x:row r="6">
      <x:c r="A6" t="n">
        <x:v>4</x:v>
      </x:c>
      <x:c r="B6" t="str">
        <x:v>Check whether taxes, fees, breakfast, and cancellation are included or extra</x:v>
      </x:c>
      <x:c r="C6" t="str"/>
      <x:c r="D6" t="str"/>
    </x:row>
    <x:row r="7">
      <x:c r="A7" t="n">
        <x:v>5</x:v>
      </x:c>
      <x:c r="B7" t="str">
        <x:v>Classify five-star status honestly</x:v>
      </x:c>
      <x:c r="C7" t="str"/>
      <x:c r="D7" t="str"/>
    </x:row>
    <x:row r="8">
      <x:c r="A8" t="n">
        <x:v>6</x:v>
      </x:c>
      <x:c r="B8" t="str">
        <x:v>Read recent reviews for dated rooms, service, breakfast, noise, maintenance, Wi-Fi, location issues</x:v>
      </x:c>
      <x:c r="C8" t="str"/>
      <x:c r="D8" t="str"/>
    </x:row>
    <x:row r="9">
      <x:c r="A9" t="n">
        <x:v>7</x:v>
      </x:c>
      <x:c r="B9" t="str">
        <x:v>Identify specific nearby sights and realistic transport/walkability context</x:v>
      </x:c>
      <x:c r="C9" t="str"/>
      <x:c r="D9" t="str"/>
    </x:row>
    <x:row r="10">
      <x:c r="A10" t="n">
        <x:v>8</x:v>
      </x:c>
      <x:c r="B10" t="str">
        <x:v>Identify specific restaurant/food angle; for Jakarta, include Indonesian restaurants and food areas</x:v>
      </x:c>
      <x:c r="C10" t="str"/>
      <x:c r="D10" t="str"/>
    </x:row>
    <x:row r="11">
      <x:c r="A11" t="n">
        <x:v>9</x:v>
      </x:c>
      <x:c r="B11" t="str">
        <x:v>Add best booking season and peak-season risk</x:v>
      </x:c>
      <x:c r="C11" t="str"/>
      <x:c r="D11" t="str"/>
    </x:row>
    <x:row r="12">
      <x:c r="A12" t="n">
        <x:v>10</x:v>
      </x:c>
      <x:c r="B12" t="str">
        <x:v>Write an honest Watch out for section</x:v>
      </x:c>
      <x:c r="C12" t="str"/>
      <x:c r="D12" t="str"/>
    </x:row>
    <x:row r="13">
      <x:c r="A13" t="n">
        <x:v>11</x:v>
      </x:c>
      <x:c r="B13" t="str">
        <x:v>Score the hotel using the six weighted factors</x:v>
      </x:c>
      <x:c r="C13" t="str"/>
      <x:c r="D13" t="str"/>
    </x:row>
    <x:row r="14">
      <x:c r="A14" t="n">
        <x:v>12</x:v>
      </x:c>
      <x:c r="B14" t="str">
        <x:v>Decide Include / Maybe / Reject and whether it belongs in first 20</x:v>
      </x:c>
      <x:c r="C14" t="str"/>
      <x:c r="D14" t="str"/>
    </x:row>
  </x:sheetData>
  <x:dataValidations count="1">
    <x:dataValidation type="list" sqref="C3:C14">
      <x:formula1>"Yes,No,N/A"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60" hidden="0" customWidth="1"/>
  </x:cols>
  <x:sheetData>
    <x:row r="1">
      <x:c r="A1" s="8" t="str">
        <x:v>Research Dashboard</x:v>
      </x:c>
      <x:c r="B1" s="8"/>
      <x:c r="C1" s="8"/>
    </x:row>
    <x:row r="2">
      <x:c r="A2" s="24" t="str">
        <x:v>Metric</x:v>
      </x:c>
      <x:c r="B2" s="24" t="str">
        <x:v>Formula / value</x:v>
      </x:c>
      <x:c r="C2" s="24" t="str">
        <x:v>Notes</x:v>
      </x:c>
    </x:row>
    <x:row r="3">
      <x:c r="A3" t="str">
        <x:v>Candidate hotels</x:v>
      </x:c>
      <x:c r="B3" t="n">
        <x:v>25</x:v>
      </x:c>
      <x:c r="C3" t="str">
        <x:v>Initial candidate pool</x:v>
      </x:c>
    </x:row>
    <x:row r="4">
      <x:c r="A4" t="str">
        <x:v>Required must-evaluate hotels</x:v>
      </x:c>
      <x:c r="B4" t="n">
        <x:v>3</x:v>
      </x:c>
      <x:c r="C4" t="str">
        <x:v>Angkor Aurora; Malak Regency Hotel; Meliá Yangon</x:v>
      </x:c>
    </x:row>
    <x:row r="5">
      <x:c r="A5" t="str">
        <x:v>Completed profiles</x:v>
      </x:c>
      <x:c r="B5" t="n">
        <x:f>COUNTIF('Master Comparison'!Y2:Y26,"Complete")</x:f>
        <x:v>0</x:v>
      </x:c>
      <x:c r="C5" t="str">
        <x:v>Based on Research status</x:v>
      </x:c>
    </x:row>
    <x:row r="6">
      <x:c r="A6" t="str">
        <x:v>Recommended Yes</x:v>
      </x:c>
      <x:c r="B6" t="n">
        <x:f>COUNTIF('Master Comparison'!W2:W26,"Yes")</x:f>
        <x:v>0</x:v>
      </x:c>
      <x:c r="C6" t="str">
        <x:v>Formula-driven from value score</x:v>
      </x:c>
    </x:row>
    <x:row r="7">
      <x:c r="A7" t="str">
        <x:v>Recommended Maybe</x:v>
      </x:c>
      <x:c r="B7" t="n">
        <x:f>COUNTIF('Master Comparison'!W2:W26,"Maybe")</x:f>
        <x:v>0</x:v>
      </x:c>
      <x:c r="C7" t="str">
        <x:v>Formula-driven from value score</x:v>
      </x:c>
    </x:row>
    <x:row r="8">
      <x:c r="A8" t="str">
        <x:v>Rejected / No</x:v>
      </x:c>
      <x:c r="B8" t="n">
        <x:f>COUNTIF('Master Comparison'!W2:W26,"No")</x:f>
        <x:v>25</x:v>
      </x:c>
      <x:c r="C8" t="str">
        <x:v>Formula-driven from value score</x:v>
      </x:c>
    </x:row>
    <x:row r="9">
      <x:c r="A9" t="str">
        <x:v>Average value score</x:v>
      </x:c>
      <x:c r="B9" t="str">
        <x:f>IFERROR(AVERAGEIF('Master Comparison'!U2:U26,"&gt;0"),"")</x:f>
      </x:c>
      <x:c r="C9" t="str">
        <x:v>Excludes blank scores</x:v>
      </x:c>
    </x:row>
    <x:row r="10">
      <x:c r="A10" t="str">
        <x:v>Top scoring hotel</x:v>
      </x:c>
      <x:c r="B10" t="str">
        <x:f>IFERROR(INDEX('Master Comparison'!B2:B26,MATCH(MAX('Master Comparison'!U2:U26),'Master Comparison'!U2:U26,0)),"")</x:f>
        <x:v>Angkor Aurora</x:v>
      </x:c>
      <x:c r="C10" t="str">
        <x:v>After scores are entered</x:v>
      </x:c>
    </x:row>
  </x:sheetData>
  <x:pageMargins left="0.7" right="0.7" top="0.75" bottom="0.75" header="0.3" footer="0.3"/>
</x:worksheet>
</file>